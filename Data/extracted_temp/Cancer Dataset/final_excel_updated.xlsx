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6.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30.xml.rels" ContentType="application/vnd.openxmlformats-package.relationships+xml"/>
  <Override PartName="/xl/worksheets/_rels/sheet1.xml.rels" ContentType="application/vnd.openxmlformats-package.relationships+xml"/>
  <Override PartName="/xl/worksheets/_rels/sheet28.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12.xml.rels" ContentType="application/vnd.openxmlformats-package.relationships+xml"/>
  <Override PartName="/xl/worksheets/_rels/sheet27.xml.rels" ContentType="application/vnd.openxmlformats-package.relationships+xml"/>
  <Override PartName="/xl/worksheets/_rels/sheet26.xml.rels" ContentType="application/vnd.openxmlformats-package.relationships+xml"/>
  <Override PartName="/xl/worksheets/_rels/sheet25.xml.rels" ContentType="application/vnd.openxmlformats-package.relationships+xml"/>
  <Override PartName="/xl/worksheets/_rels/sheet24.xml.rels" ContentType="application/vnd.openxmlformats-package.relationships+xml"/>
  <Override PartName="/xl/worksheets/_rels/sheet6.xml.rels" ContentType="application/vnd.openxmlformats-package.relationships+xml"/>
  <Override PartName="/xl/worksheets/_rels/sheet23.xml.rels" ContentType="application/vnd.openxmlformats-package.relationships+xml"/>
  <Override PartName="/xl/worksheets/_rels/sheet22.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17.xml.rels" ContentType="application/vnd.openxmlformats-package.relationships+xml"/>
  <Override PartName="/xl/worksheets/_rels/sheet29.xml.rels" ContentType="application/vnd.openxmlformats-package.relationships+xml"/>
  <Override PartName="/xl/worksheets/_rels/sheet2.xml.rels" ContentType="application/vnd.openxmlformats-package.relationships+xml"/>
  <Override PartName="/xl/worksheets/_rels/sheet18.xml.rels" ContentType="application/vnd.openxmlformats-package.relationships+xml"/>
  <Override PartName="/xl/worksheets/sheet29.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28.xml" ContentType="application/vnd.openxmlformats-officedocument.spreadsheetml.worksheet+xml"/>
  <Override PartName="/xl/worksheets/sheet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6.xml" ContentType="application/vnd.openxmlformats-officedocument.drawing+xml"/>
  <Override PartName="/xl/drawings/drawing15.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ource Documents" sheetId="2" state="visible" r:id="rId4"/>
    <sheet name="Key Findings (3 PDFs)" sheetId="3" state="visible" r:id="rId5"/>
    <sheet name="Cross-Validation" sheetId="4" state="visible" r:id="rId6"/>
    <sheet name="State-wise Incidence" sheetId="5" state="visible" r:id="rId7"/>
    <sheet name="India Sites 2022" sheetId="6" state="visible" r:id="rId8"/>
    <sheet name="India Sites 2020" sheetId="7" state="visible" r:id="rId9"/>
    <sheet name="India Age-Sex Sites" sheetId="8" state="visible" r:id="rId10"/>
    <sheet name="India Top10 Sites 2022" sheetId="9" state="visible" r:id="rId11"/>
    <sheet name="India Trend 2015-2025" sheetId="10" state="visible" r:id="rId12"/>
    <sheet name="India Age Structure" sheetId="11" state="visible" r:id="rId13"/>
    <sheet name="PBCR Incidence Table" sheetId="12" state="visible" r:id="rId14"/>
    <sheet name="Tobacco-related Cancers" sheetId="13" state="visible" r:id="rId15"/>
    <sheet name="Cancer Trends (APC)" sheetId="14" state="visible" r:id="rId16"/>
    <sheet name="Clinical Stage" sheetId="15" state="visible" r:id="rId17"/>
    <sheet name="Method Comparison" sheetId="16" state="visible" r:id="rId18"/>
    <sheet name="MH PBCR Profile" sheetId="17" state="visible" r:id="rId19"/>
    <sheet name="MH Childhood Cancer" sheetId="18" state="visible" r:id="rId20"/>
    <sheet name="MH Sites &amp; Tobacco" sheetId="19" state="visible" r:id="rId21"/>
    <sheet name="MH Projections" sheetId="20" state="visible" r:id="rId22"/>
    <sheet name="MH Socio-Health Profile" sheetId="21" state="visible" r:id="rId23"/>
    <sheet name="MH Health Infrastructure" sheetId="22" state="visible" r:id="rId24"/>
    <sheet name="Data Notes" sheetId="23" state="visible" r:id="rId25"/>
    <sheet name="Article Details" sheetId="24" state="visible" r:id="rId26"/>
    <sheet name="Summary &amp; Findings" sheetId="25" state="visible" r:id="rId27"/>
    <sheet name="Healthcare Moderators" sheetId="26" state="visible" r:id="rId28"/>
    <sheet name="Model &amp; Forecasts" sheetId="27" state="visible" r:id="rId29"/>
    <sheet name="References" sheetId="28" state="visible" r:id="rId30"/>
    <sheet name="Source References" sheetId="29" state="visible" r:id="rId31"/>
    <sheet name="Full PDF Text" sheetId="30" state="visible" r:id="rId32"/>
  </sheets>
  <definedNames>
    <definedName function="false" hidden="true" localSheetId="23" name="_xlnm._FilterDatabase" vbProcedure="false">'Article Details'!$A$1:$B$21</definedName>
    <definedName function="false" hidden="true" localSheetId="13" name="_xlnm._FilterDatabase" vbProcedure="false">'Cancer Trends (APC)'!$A$1:$H$153</definedName>
    <definedName function="false" hidden="true" localSheetId="14" name="_xlnm._FilterDatabase" vbProcedure="false">'Clinical Stage'!$A$1:$K$15</definedName>
    <definedName function="false" hidden="true" localSheetId="3" name="_xlnm._FilterDatabase" vbProcedure="false">'Cross-Validation'!$A$1:$J$25</definedName>
    <definedName function="false" hidden="true" localSheetId="22" name="_xlnm._FilterDatabase" vbProcedure="false">'Data Notes'!$A$1:$C$16</definedName>
    <definedName function="false" hidden="true" localSheetId="29" name="_xlnm._FilterDatabase" vbProcedure="false">'Full PDF Text'!$A$1:$C$44</definedName>
    <definedName function="false" hidden="true" localSheetId="25" name="_xlnm._FilterDatabase" vbProcedure="false">'Healthcare Moderators'!$A$1:$C$8</definedName>
    <definedName function="false" hidden="true" localSheetId="7" name="_xlnm._FilterDatabase" vbProcedure="false">'India Age-Sex Sites'!$A$1:$J$57</definedName>
    <definedName function="false" hidden="true" localSheetId="6" name="_xlnm._FilterDatabase" vbProcedure="false">'India Sites 2020'!$A$1:$N$56</definedName>
    <definedName function="false" hidden="true" localSheetId="5" name="_xlnm._FilterDatabase" vbProcedure="false">'India Sites 2022'!$A$1:$S$56</definedName>
    <definedName function="false" hidden="true" localSheetId="8" name="_xlnm._FilterDatabase" vbProcedure="false">'India Top10 Sites 2022'!$A$1:$H$21</definedName>
    <definedName function="false" hidden="true" localSheetId="2" name="_xlnm._FilterDatabase" vbProcedure="false">'Key Findings (3 PDFs)'!$A$1:$G$47</definedName>
    <definedName function="false" hidden="true" localSheetId="15" name="_xlnm._FilterDatabase" vbProcedure="false">'Method Comparison'!$A$1:$D$7</definedName>
    <definedName function="false" hidden="true" localSheetId="17" name="_xlnm._FilterDatabase" vbProcedure="false">'MH Childhood Cancer'!$A$1:$M$8</definedName>
    <definedName function="false" hidden="true" localSheetId="21" name="_xlnm._FilterDatabase" vbProcedure="false">'MH Health Infrastructure'!$A$1:$E$16</definedName>
    <definedName function="false" hidden="true" localSheetId="16" name="_xlnm._FilterDatabase" vbProcedure="false">'MH PBCR Profile'!$A$1:$Q$9</definedName>
    <definedName function="false" hidden="true" localSheetId="18" name="_xlnm._FilterDatabase" vbProcedure="false">'MH Sites &amp; Tobacco'!$A$1:$F$27</definedName>
    <definedName function="false" hidden="true" localSheetId="20" name="_xlnm._FilterDatabase" vbProcedure="false">'MH Socio-Health Profile'!$A$1:$G$16</definedName>
    <definedName function="false" hidden="true" localSheetId="26" name="_xlnm._FilterDatabase" vbProcedure="false">'Model &amp; Forecasts'!$A$1:$B$10</definedName>
    <definedName function="false" hidden="true" localSheetId="11" name="_xlnm._FilterDatabase" vbProcedure="false">'PBCR Incidence Table'!$A$1:$S$33</definedName>
    <definedName function="false" hidden="true" localSheetId="27" name="_xlnm._FilterDatabase" vbProcedure="false">References!$A$1:$B$13</definedName>
    <definedName function="false" hidden="true" localSheetId="1" name="_xlnm._FilterDatabase" vbProcedure="false">'Source Documents'!$A$1:$K$5</definedName>
    <definedName function="false" hidden="true" localSheetId="28" name="_xlnm._FilterDatabase" vbProcedure="false">'Source References'!$A$1:$C$93</definedName>
    <definedName function="false" hidden="true" localSheetId="4" name="_xlnm._FilterDatabase" vbProcedure="false">'State-wise Incidence'!$A$1:$O$38</definedName>
    <definedName function="false" hidden="true" localSheetId="24" name="_xlnm._FilterDatabase" vbProcedure="false">'Summary &amp; Findings'!$A$1:$B$22</definedName>
    <definedName function="false" hidden="true" localSheetId="12" name="_xlnm._FilterDatabase" vbProcedure="false">'Tobacco-related Cancers'!$A$1:$J$33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<sst xmlns="http://schemas.openxmlformats.org/spreadsheetml/2006/main" count="3329" uniqueCount="1238">
  <si>
    <t xml:space="preserve">Cancer in India - combined dataset (state forecasts, national NCRP estimates, registry data, Maharashtra profile)</t>
  </si>
  <si>
    <t xml:space="preserve">This workbook merges the original state-wise forecasting file (Kumar et al. 2026) with data extracted from three NCRP/ICMR PDFs: IJMR 2022 national estimates (S1), the Maharashtra cancer fact sheet 2021 (S2) and the JCO 2020 NCRP report (S3). Every table in the PDFs has been transcribed; figure-only data were read from the page images. Header colours: blue = source data, green = formula-derived.</t>
  </si>
  <si>
    <t xml:space="preserve">Sheet</t>
  </si>
  <si>
    <t xml:space="preserve">Source</t>
  </si>
  <si>
    <t xml:space="preserve">Contents</t>
  </si>
  <si>
    <t xml:space="preserve">Rows (approx.)</t>
  </si>
  <si>
    <t xml:space="preserve">Group</t>
  </si>
  <si>
    <t xml:space="preserve">Source Documents</t>
  </si>
  <si>
    <t xml:space="preserve">All</t>
  </si>
  <si>
    <t xml:space="preserve">Bibliographic details of the four source documents and which sheets come from each</t>
  </si>
  <si>
    <t xml:space="preserve">Guide</t>
  </si>
  <si>
    <t xml:space="preserve">Key Findings (3 PDFs)</t>
  </si>
  <si>
    <t xml:space="preserve">S1-S3</t>
  </si>
  <si>
    <t xml:space="preserve">Headline statistics, methods, coverage and data-quality facts from the three new PDFs, with page numbers</t>
  </si>
  <si>
    <t xml:space="preserve">Cross-Validation</t>
  </si>
  <si>
    <t xml:space="preserve">S1-S4</t>
  </si>
  <si>
    <t xml:space="preserve">Formula checks between the sources (e.g. existing state totals vs NCRP national estimates)</t>
  </si>
  <si>
    <t xml:space="preserve">Data Notes</t>
  </si>
  <si>
    <t xml:space="preserve">Assumptions, inferred readings, discrepancies and conventions</t>
  </si>
  <si>
    <t xml:space="preserve">State-wise Incidence</t>
  </si>
  <si>
    <t xml:space="preserve">S4 + S1</t>
  </si>
  <si>
    <t xml:space="preserve">Original 37-state table, extended with region, PBCR representation, growth rates, shares and an all-India total</t>
  </si>
  <si>
    <t xml:space="preserve">India - state</t>
  </si>
  <si>
    <t xml:space="preserve">India Sites 2022</t>
  </si>
  <si>
    <t xml:space="preserve">S1</t>
  </si>
  <si>
    <t xml:space="preserve">IJMR Table I: 2022 cases, crude and age-adjusted rates and cumulative risk by site and sex, with 2020 comparison</t>
  </si>
  <si>
    <t xml:space="preserve">India - national</t>
  </si>
  <si>
    <t xml:space="preserve">India Sites 2020</t>
  </si>
  <si>
    <t xml:space="preserve">S3</t>
  </si>
  <si>
    <t xml:space="preserve">JCO Table 2: projected 2020 cases, crude rate and cumulative risk by site and sex</t>
  </si>
  <si>
    <t xml:space="preserve">India Age-Sex Sites</t>
  </si>
  <si>
    <t xml:space="preserve">IJMR Table II: top five sites by age group (0-14, 15-39, 40-64, 65+) and sex</t>
  </si>
  <si>
    <t xml:space="preserve">India Top10 Sites 2022</t>
  </si>
  <si>
    <t xml:space="preserve">IJMR Fig. 1: top ten sites by sex, validated against Table I</t>
  </si>
  <si>
    <t xml:space="preserve">India Trend 2015-2025</t>
  </si>
  <si>
    <t xml:space="preserve">IJMR Table III: leading-site cases 2015, 2020, 2025 with growth rates</t>
  </si>
  <si>
    <t xml:space="preserve">India Age Structure</t>
  </si>
  <si>
    <t xml:space="preserve">Population pyramid shares (census 2011 vs 2022 estimate)</t>
  </si>
  <si>
    <t xml:space="preserve">PBCR Incidence Table</t>
  </si>
  <si>
    <t xml:space="preserve">JCO Table 1: incidence, cumulative risk and mortality for 28 PBCRs (plus 4 district rows)</t>
  </si>
  <si>
    <t xml:space="preserve">India - registries</t>
  </si>
  <si>
    <t xml:space="preserve">Tobacco-related Cancers</t>
  </si>
  <si>
    <t xml:space="preserve">JCO Fig. 2: tobacco-associated share, crude and age-adjusted rates by registry and sex</t>
  </si>
  <si>
    <t xml:space="preserve">Cancer Trends (APC)</t>
  </si>
  <si>
    <t xml:space="preserve">JCO Fig. 4: annual percentage change in incidence by registry, site and sex</t>
  </si>
  <si>
    <t xml:space="preserve">Clinical Stage</t>
  </si>
  <si>
    <t xml:space="preserve">S2 + S3</t>
  </si>
  <si>
    <t xml:space="preserve">Stage at diagnosis, India (58 HBCRs) and Maharashtra (3 HBCRs)</t>
  </si>
  <si>
    <t xml:space="preserve">Method Comparison</t>
  </si>
  <si>
    <t xml:space="preserve">GLOBOCAN vs GBD vs NCRP estimation methods</t>
  </si>
  <si>
    <t xml:space="preserve">MH PBCR Profile</t>
  </si>
  <si>
    <t xml:space="preserve">Maharashtra PBCRs: description, area, urban/rural split, incidence, cumulative risk; HBCR list</t>
  </si>
  <si>
    <t xml:space="preserve">Maharashtra</t>
  </si>
  <si>
    <t xml:space="preserve">MH Childhood Cancer</t>
  </si>
  <si>
    <t xml:space="preserve">S2</t>
  </si>
  <si>
    <t xml:space="preserve">Childhood (0-14) and 0-19 cancer cases and age-adjusted rates per million by registry</t>
  </si>
  <si>
    <t xml:space="preserve">MH Sites &amp; Tobacco</t>
  </si>
  <si>
    <t xml:space="preserve">Leading cancer sites and tobacco-associated cancer shares</t>
  </si>
  <si>
    <t xml:space="preserve">MH Projections</t>
  </si>
  <si>
    <t xml:space="preserve">Projected cases 2020 and 2025 by sex, with share of India</t>
  </si>
  <si>
    <t xml:space="preserve">MH Socio-Health Profile</t>
  </si>
  <si>
    <t xml:space="preserve">Demographics, literacy, life expectancy, risk factors and NCD prevalence</t>
  </si>
  <si>
    <t xml:space="preserve">MH Health Infrastructure</t>
  </si>
  <si>
    <t xml:space="preserve">Health facilities, medical colleges, cancer centres, schemes and HBCRs</t>
  </si>
  <si>
    <t xml:space="preserve">Article Details</t>
  </si>
  <si>
    <t xml:space="preserve">S4</t>
  </si>
  <si>
    <t xml:space="preserve">Original sheet - Kumar et al. 2026 article metadata (unchanged)</t>
  </si>
  <si>
    <t xml:space="preserve">Kumar 2026 (original)</t>
  </si>
  <si>
    <t xml:space="preserve">Summary &amp; Findings</t>
  </si>
  <si>
    <t xml:space="preserve">Original sheet (unchanged)</t>
  </si>
  <si>
    <t xml:space="preserve">Healthcare Moderators</t>
  </si>
  <si>
    <t xml:space="preserve">Model &amp; Forecasts</t>
  </si>
  <si>
    <t xml:space="preserve">References</t>
  </si>
  <si>
    <t xml:space="preserve">Original sheet - reference list of the Kumar et al. article (unchanged)</t>
  </si>
  <si>
    <t xml:space="preserve">Source References</t>
  </si>
  <si>
    <t xml:space="preserve">Reference lists of the three new PDFs</t>
  </si>
  <si>
    <t xml:space="preserve">Reference</t>
  </si>
  <si>
    <t xml:space="preserve">Full PDF Text</t>
  </si>
  <si>
    <t xml:space="preserve">Raw extracted text of every page of all four PDFs (new column A identifies the document)</t>
  </si>
  <si>
    <t xml:space="preserve">Ref</t>
  </si>
  <si>
    <t xml:space="preserve">File</t>
  </si>
  <si>
    <t xml:space="preserve">Title</t>
  </si>
  <si>
    <t xml:space="preserve">Authors / publisher</t>
  </si>
  <si>
    <t xml:space="preserve">Journal / series</t>
  </si>
  <si>
    <t xml:space="preserve">Year</t>
  </si>
  <si>
    <t xml:space="preserve">Volume / pages</t>
  </si>
  <si>
    <t xml:space="preserve">DOI / link</t>
  </si>
  <si>
    <t xml:space="preserve">Data period</t>
  </si>
  <si>
    <t xml:space="preserve">Geography and scope</t>
  </si>
  <si>
    <t xml:space="preserve">Sheets built from it</t>
  </si>
  <si>
    <t xml:space="preserve">1792240250346_cancer_dataset.pdf</t>
  </si>
  <si>
    <t xml:space="preserve">Cancer incidence estimates for 2022 &amp; projection for 2025: Result from National Cancer Registry Programme, India</t>
  </si>
  <si>
    <t xml:space="preserve">Krishnan Sathishkumar, Meesha Chaturvedi, Priyanka Das, S. Stephen, Prashant Mathur (ICMR-NCDIR, Bengaluru)</t>
  </si>
  <si>
    <t xml:space="preserve">Indian Journal of Medical Research</t>
  </si>
  <si>
    <t xml:space="preserve">156 (Oct &amp; Nov), pp 598-607</t>
  </si>
  <si>
    <t xml:space="preserve">DOI 10.4103/ijmr.ijmr_1821_22</t>
  </si>
  <si>
    <t xml:space="preserve">Rates 2012-2016; estimates 2022; projection 2025</t>
  </si>
  <si>
    <t xml:space="preserve">India national, by sex, age group and anatomical site; state/region PBCR representation</t>
  </si>
  <si>
    <t xml:space="preserve">India Sites 2022; India Age-Sex Sites; India Top10 Sites 2022; India Trend 2015-2025; India Age Structure; Method Comparison; State-wise Incidence (cols I-J); Key Findings</t>
  </si>
  <si>
    <t xml:space="preserve">1792240259450_FS_Maharashtra.pdf</t>
  </si>
  <si>
    <t xml:space="preserve">Profile of Cancer and Related Factors - Maharashtra</t>
  </si>
  <si>
    <t xml:space="preserve">ICMR-National Centre for Disease Informatics and Research (NCDIR), Bengaluru</t>
  </si>
  <si>
    <t xml:space="preserve">Cancer fact sheet series (NCRP)</t>
  </si>
  <si>
    <t xml:space="preserve">11 pages (9 content pages)</t>
  </si>
  <si>
    <t xml:space="preserve">https://www.ncdirindia.org/</t>
  </si>
  <si>
    <t xml:space="preserve">Registry data 2012-2016; projections 2020 and 2025</t>
  </si>
  <si>
    <t xml:space="preserve">Maharashtra state: 8 PBCRs, 5 HBCRs, socio-demographic, health indicators and infrastructure</t>
  </si>
  <si>
    <t xml:space="preserve">MH PBCR Profile; MH Childhood Cancer; MH Sites &amp; Tobacco; MH Projections; MH Socio-Health Profile; MH Health Infrastructure; Clinical Stage</t>
  </si>
  <si>
    <t xml:space="preserve">1792240259452_cancer_dataset_2.pdf</t>
  </si>
  <si>
    <t xml:space="preserve">Cancer Statistics, 2020: Report From National Cancer Registry Programme, India</t>
  </si>
  <si>
    <t xml:space="preserve">Prashant Mathur, Krishnan Sathishkumar, Meesha Chaturvedi, Priyanka Das, Kondalli Lakshminarayana Sudarshan, Stephen Santhappan, Vinodh Nallasamy, Anish John, Sandeep Narasimhan, Francis Selvaraj Roselind; ICMR-NCDIR-NCRP Investigator Group</t>
  </si>
  <si>
    <t xml:space="preserve">JCO Global Oncology (ASCO)</t>
  </si>
  <si>
    <t xml:space="preserve">6:1063-1075</t>
  </si>
  <si>
    <t xml:space="preserve">DOI 10.1200/GO.20.00122</t>
  </si>
  <si>
    <t xml:space="preserve">Registry data 2012-2016; trends from 1982; projection 2020</t>
  </si>
  <si>
    <t xml:space="preserve">India: 28 PBCRs and 58 HBCRs; incidence, mortality, trends, stage, treatment</t>
  </si>
  <si>
    <t xml:space="preserve">PBCR Incidence Table; Tobacco-related Cancers; Cancer Trends (APC); Clinical Stage; India Sites 2020; Key Findings</t>
  </si>
  <si>
    <t xml:space="preserve">1792240265018_final_excel.xlsx (existing content)</t>
  </si>
  <si>
    <t xml:space="preserve">State-wise forecasting of cancer incidence in India using a moderated exponential regression model incorporating healthcare system determinants</t>
  </si>
  <si>
    <t xml:space="preserve">Dileep Kumar, Navin Upadhyay, Himanshu Pandey</t>
  </si>
  <si>
    <t xml:space="preserve">International Journal of Community Medicine and Public Health</t>
  </si>
  <si>
    <t xml:space="preserve">13(4):1867-1873</t>
  </si>
  <si>
    <t xml:space="preserve">https://dx.doi.org/10.18203/2394-6040.ijcmph20261025</t>
  </si>
  <si>
    <t xml:space="preserve">Observed 2019-2022; predicted 2026, 2030, 2045</t>
  </si>
  <si>
    <t xml:space="preserve">India, 37 states/UTs</t>
  </si>
  <si>
    <t xml:space="preserve">State-wise Incidence; Article Details; Summary &amp; Findings; Healthcare Moderators; Model &amp; Forecasts; References; Full PDF Text (pages 1-7)</t>
  </si>
  <si>
    <t xml:space="preserve">Topic</t>
  </si>
  <si>
    <t xml:space="preserve">Finding / metric</t>
  </si>
  <si>
    <t xml:space="preserve">Value</t>
  </si>
  <si>
    <t xml:space="preserve">Unit</t>
  </si>
  <si>
    <t xml:space="preserve">Context / detail</t>
  </si>
  <si>
    <t xml:space="preserve">Page</t>
  </si>
  <si>
    <t xml:space="preserve">IJMR 2022 (Sathishkumar)</t>
  </si>
  <si>
    <t xml:space="preserve">Burden</t>
  </si>
  <si>
    <t xml:space="preserve">Estimated new cancer cases in India, 2022</t>
  </si>
  <si>
    <t xml:space="preserve">cases</t>
  </si>
  <si>
    <t xml:space="preserve">Crude rate 100.4 per 100,000; age-adjusted rate 107.0 per 100,000</t>
  </si>
  <si>
    <t xml:space="preserve">598, 600</t>
  </si>
  <si>
    <t xml:space="preserve">Estimated cases among females, 2022</t>
  </si>
  <si>
    <t xml:space="preserve">Crude rate 105.4 per 100,000</t>
  </si>
  <si>
    <t xml:space="preserve">600</t>
  </si>
  <si>
    <t xml:space="preserve">Estimated cases among males, 2022</t>
  </si>
  <si>
    <t xml:space="preserve">Crude rate 95.6 per 100,000</t>
  </si>
  <si>
    <t xml:space="preserve">Risk</t>
  </si>
  <si>
    <t xml:space="preserve">Lifetime risk of cancer (0-74 years)</t>
  </si>
  <si>
    <t xml:space="preserve">1 in 9</t>
  </si>
  <si>
    <t xml:space="preserve">Both sexes; lung cancer in males 1 in 67; breast cancer in females 1 in 29</t>
  </si>
  <si>
    <t xml:space="preserve">Largest site groups, both sexes</t>
  </si>
  <si>
    <t xml:space="preserve">Digestive 288,054; breast 221,757; genital 218,319; oral cavity &amp; pharynx 198,438; respiratory 143,062</t>
  </si>
  <si>
    <t xml:space="preserve">Five highest-burden groups</t>
  </si>
  <si>
    <t xml:space="preserve">Leading sites</t>
  </si>
  <si>
    <t xml:space="preserve">Top five male sites, 2022</t>
  </si>
  <si>
    <t xml:space="preserve">Lung 10.6; mouth 8.4; prostate 6.1; tongue 5.9; stomach 4.8</t>
  </si>
  <si>
    <t xml:space="preserve">% of male cancers</t>
  </si>
  <si>
    <t xml:space="preserve">Liver (3.9%) is in the male top ten but not the female</t>
  </si>
  <si>
    <t xml:space="preserve">Top five female sites, 2022</t>
  </si>
  <si>
    <t xml:space="preserve">Breast 28.8; cervix 10.6; ovary 6.2; corpus uteri 3.7; lung 3.7</t>
  </si>
  <si>
    <t xml:space="preserve">% of female cancers</t>
  </si>
  <si>
    <t xml:space="preserve">Thyroid (3.6%) and gallbladder (2.7%) are in the female top ten but not the male</t>
  </si>
  <si>
    <t xml:space="preserve">Childhood</t>
  </si>
  <si>
    <t xml:space="preserve">Leading childhood (0-14 yr) cancer</t>
  </si>
  <si>
    <t xml:space="preserve">Lymphoid leukaemia: boys 29.3%, girls 24.3%</t>
  </si>
  <si>
    <t xml:space="preserve">Abstract prints 29.2% / 24.2%; Table II prints 29.3% / 24.3%. Next: brain/NS (boys 12.4%, girls 14.3%)</t>
  </si>
  <si>
    <t xml:space="preserve">598, 600, 604</t>
  </si>
  <si>
    <t xml:space="preserve">Childhood share of all cancers</t>
  </si>
  <si>
    <t xml:space="preserve">Boys 3.0%; girls 1.8%</t>
  </si>
  <si>
    <t xml:space="preserve">of cancers in age group 0-14</t>
  </si>
  <si>
    <t xml:space="preserve">Rural childhood incidence is lower, attributed to under-reporting</t>
  </si>
  <si>
    <t xml:space="preserve">606</t>
  </si>
  <si>
    <t xml:space="preserve">Age</t>
  </si>
  <si>
    <t xml:space="preserve">Cancer cases in 40-64 year olds</t>
  </si>
  <si>
    <t xml:space="preserve">Males 341,230; females 425,918</t>
  </si>
  <si>
    <t xml:space="preserve">Half of India's estimated burden is in this age group; globally half is aged 65+, in India one-third</t>
  </si>
  <si>
    <t xml:space="preserve">600, 604, 606</t>
  </si>
  <si>
    <t xml:space="preserve">Age-specific incidence rate pattern</t>
  </si>
  <si>
    <t xml:space="preserve">Rises from age 25; female &gt; male at 25-59; male &gt; female above 60</t>
  </si>
  <si>
    <t xml:space="preserve">At 75+: males 710.6 vs females 451.7 per 100,000</t>
  </si>
  <si>
    <t xml:space="preserve">Peak number of cases by age group</t>
  </si>
  <si>
    <t xml:space="preserve">Age 60-64: males 106,296; females 105,139</t>
  </si>
  <si>
    <t xml:space="preserve">Projection</t>
  </si>
  <si>
    <t xml:space="preserve">Cases projected for 2025</t>
  </si>
  <si>
    <t xml:space="preserve">1.57 million (2025) vs 1.46 million (2022)</t>
  </si>
  <si>
    <t xml:space="preserve">Increase of 12.8% in 2025 vs 2020; +27.7% from 2015 to 2025</t>
  </si>
  <si>
    <t xml:space="preserve">2025 leading-site projections</t>
  </si>
  <si>
    <t xml:space="preserve">Lung (males) 81,219; breast (females) 232,832</t>
  </si>
  <si>
    <t xml:space="preserve">Table III</t>
  </si>
  <si>
    <t xml:space="preserve">600, 605</t>
  </si>
  <si>
    <t xml:space="preserve">Comparison</t>
  </si>
  <si>
    <t xml:space="preserve">2022 estimate vs 2020 estimate (1,392,179)</t>
  </si>
  <si>
    <t xml:space="preserve">About +5%</t>
  </si>
  <si>
    <t xml:space="preserve">13,92,179 in 2020 to 14,61,427 in 2022</t>
  </si>
  <si>
    <t xml:space="preserve">603</t>
  </si>
  <si>
    <t xml:space="preserve">Lung cancer cases 2022</t>
  </si>
  <si>
    <t xml:space="preserve">Top-five site for both sexes</t>
  </si>
  <si>
    <t xml:space="preserve">GLOBOCAN context</t>
  </si>
  <si>
    <t xml:space="preserve">19.3 million cases worldwide (2020); India third; India 2.08 million by 2040 (+57.5% vs 2020)</t>
  </si>
  <si>
    <t xml:space="preserve">NCRP 2020 estimate was 5.1% higher than GLOBOCAN</t>
  </si>
  <si>
    <t xml:space="preserve">598, 604</t>
  </si>
  <si>
    <t xml:space="preserve">Population</t>
  </si>
  <si>
    <t xml:space="preserve">Share of population aged 60+</t>
  </si>
  <si>
    <t xml:space="preserve">8.6% (2011) to 9.7% (2022)</t>
  </si>
  <si>
    <t xml:space="preserve">Ageing drives most of the projected rise because rates are held constant</t>
  </si>
  <si>
    <t xml:space="preserve">605</t>
  </si>
  <si>
    <t xml:space="preserve">Coverage</t>
  </si>
  <si>
    <t xml:space="preserve">PBCR coverage</t>
  </si>
  <si>
    <t xml:space="preserve">28 PBCRs cover ~10% of population; NCRP coverage 16.4% (urban 31.6%, rural 9.5%)</t>
  </si>
  <si>
    <t xml:space="preserve">Of 28 PBCRs: 1 rural (3.5%), 12 urban (42.9%), 15 semi-urban (53.6%). Four NE states (Sikkim, Manipur, Mizoram, Tripura) have 100% PBCR coverage</t>
  </si>
  <si>
    <t xml:space="preserve">599, 604, 605</t>
  </si>
  <si>
    <t xml:space="preserve">Method</t>
  </si>
  <si>
    <t xml:space="preserve">Estimation approach</t>
  </si>
  <si>
    <t xml:space="preserve">2012-16 age-specific rates by site applied to 2022 population estimates</t>
  </si>
  <si>
    <t xml:space="preserve">Constant incidence assumed; census 2021 delayed; fertility, mortality, migration and COVID-19 impact not modelled; only 6 PBCRs have &gt;25 years of data</t>
  </si>
  <si>
    <t xml:space="preserve">599-600, 604-605</t>
  </si>
  <si>
    <t xml:space="preserve">Risk factors</t>
  </si>
  <si>
    <t xml:space="preserve">Attributable risk (DALYs)</t>
  </si>
  <si>
    <t xml:space="preserve">Alcohol 30.1% (pharyngeal); tobacco 43% and air pollution 43% (lung); diet 43.2% (colorectal)</t>
  </si>
  <si>
    <t xml:space="preserve">Rising incidence: tongue, mouth, colon, rectum, liver, lung, breast, corpus uteri, ovary, thyroid, prostate, gallbladder, pancreas, kidney, bladder, brain, NHL, lymphoid leukaemia. Falling: hypopharynx, oesophagus, stomach, cervix</t>
  </si>
  <si>
    <t xml:space="preserve">Projected DALYs from cancer by 2025</t>
  </si>
  <si>
    <t xml:space="preserve">29.8 million</t>
  </si>
  <si>
    <t xml:space="preserve">DALYs</t>
  </si>
  <si>
    <t xml:space="preserve">Separate NCRP publication cited in the paper</t>
  </si>
  <si>
    <t xml:space="preserve">JCO 2020 (Mathur)</t>
  </si>
  <si>
    <t xml:space="preserve">Projected cases in India, 2020</t>
  </si>
  <si>
    <t xml:space="preserve">Males 679,421 (94.1 per 100,000); females 712,758 (103.6); crude rate both sexes 98.7</t>
  </si>
  <si>
    <t xml:space="preserve">1063, 1069</t>
  </si>
  <si>
    <t xml:space="preserve">Lifetime risk</t>
  </si>
  <si>
    <t xml:space="preserve">1 in 68 males (lung); 1 in 29 females (breast); 1 in 9 Indians</t>
  </si>
  <si>
    <t xml:space="preserve">Cumulative risk age 0-74</t>
  </si>
  <si>
    <t xml:space="preserve">1069</t>
  </si>
  <si>
    <t xml:space="preserve">Five most common projected cancers 2020</t>
  </si>
  <si>
    <t xml:space="preserve">Males: lung, mouth, prostate, tongue, stomach = 36% of male cancers; females: breast, cervix, ovary, corpus uteri, lung = 53%</t>
  </si>
  <si>
    <t xml:space="preserve">Geography</t>
  </si>
  <si>
    <t xml:space="preserve">Highest age-adjusted incidence</t>
  </si>
  <si>
    <t xml:space="preserve">Males: Aizawl district 269.4 (mortality 152.7); females: Papumpare district 219.8</t>
  </si>
  <si>
    <t xml:space="preserve">per 100,000</t>
  </si>
  <si>
    <t xml:space="preserve">Aizawl ~2x Delhi (147.0); East Khasi Hills 227.9, Kamrup urban 213.0, Mizoram state 207.0 follow</t>
  </si>
  <si>
    <t xml:space="preserve">1066</t>
  </si>
  <si>
    <t xml:space="preserve">Highest outside the North-East</t>
  </si>
  <si>
    <t xml:space="preserve">Males: Delhi 147.0, Thiruvananthapuram 137.8; females: Bangalore 146.8, Delhi 141.0</t>
  </si>
  <si>
    <t xml:space="preserve">Lowest age-adjusted incidence</t>
  </si>
  <si>
    <t xml:space="preserve">Osmanabad and Beed: males 39.5, females 49.4</t>
  </si>
  <si>
    <t xml:space="preserve">Aizawl male rate ~7x and Papumpare female rate ~4x that of Osmanabad &amp; Beed; Barshi rural is ~1/3 of urban PBCRs</t>
  </si>
  <si>
    <t xml:space="preserve">1068-1070</t>
  </si>
  <si>
    <t xml:space="preserve">One in four lifetime risk</t>
  </si>
  <si>
    <t xml:space="preserve">Males in Aizawl, Papumpare, East Khasi Hills, Kamrup urban; females in Papumpare (1 in 4) and Mizoram (1 in 5)</t>
  </si>
  <si>
    <t xml:space="preserve">Cumulative risk 0-74</t>
  </si>
  <si>
    <t xml:space="preserve">Tobacco</t>
  </si>
  <si>
    <t xml:space="preserve">Tobacco-associated share of cancers</t>
  </si>
  <si>
    <t xml:space="preserve">East Khasi Hills: 70.4% males, 46.5% females</t>
  </si>
  <si>
    <t xml:space="preserve">%</t>
  </si>
  <si>
    <t xml:space="preserve">About one-third of cancers in India are tobacco-associated; NE highest, then West and Central registries</t>
  </si>
  <si>
    <t xml:space="preserve">1066-1067, 1071</t>
  </si>
  <si>
    <t xml:space="preserve">Patterns</t>
  </si>
  <si>
    <t xml:space="preserve">Most common sites in registries</t>
  </si>
  <si>
    <t xml:space="preserve">Men: lung (9 PBCRs), mouth (9), oesophagus (5), stomach (4), nasopharynx (1); women: breast (19 PBCRs), cervix (7)</t>
  </si>
  <si>
    <t xml:space="preserve">Thyroid second in Thiruvananthapuram and Kollam; lung in Manipur and Mizoram (women)</t>
  </si>
  <si>
    <t xml:space="preserve">1067, 1069</t>
  </si>
  <si>
    <t xml:space="preserve">Stage</t>
  </si>
  <si>
    <t xml:space="preserve">Loco-regional at diagnosis</t>
  </si>
  <si>
    <t xml:space="preserve">Breast 57.0%; cervix 60.0%; head &amp; neck 66.6%; stomach 50.8%</t>
  </si>
  <si>
    <t xml:space="preserve">Lung: distant metastasis 44.0% (males), 47.6% (females). See sheet Clinical Stage</t>
  </si>
  <si>
    <t xml:space="preserve">1063, 1068</t>
  </si>
  <si>
    <t xml:space="preserve">Treatment</t>
  </si>
  <si>
    <t xml:space="preserve">Multimodality treatment share</t>
  </si>
  <si>
    <t xml:space="preserve">Loco-regional 79.5%; localised 74.4%; distant metastasis 47.6%</t>
  </si>
  <si>
    <t xml:space="preserve">Systemic therapy most common for lung and stomach; chemoradiation for cervix</t>
  </si>
  <si>
    <t xml:space="preserve">1068, 1071</t>
  </si>
  <si>
    <t xml:space="preserve">Trends</t>
  </si>
  <si>
    <t xml:space="preserve">Annual percentage change</t>
  </si>
  <si>
    <t xml:space="preserve">All sites increasing in 12 PBCRs (males) and 13 (females); highest Kamrup urban 3.8%</t>
  </si>
  <si>
    <t xml:space="preserve">% per year</t>
  </si>
  <si>
    <t xml:space="preserve">Breast: significant increase everywhere except Nagpur; cervix: significant decrease in 10 PBCRs; lung (females): significant increase in 11. See sheet Cancer Trends (APC)</t>
  </si>
  <si>
    <t xml:space="preserve">Data quality</t>
  </si>
  <si>
    <t xml:space="preserve">Quality indices across 28 PBCRs</t>
  </si>
  <si>
    <t xml:space="preserve">MV% 77 (Patiala) to 96.7 (Hyderabad); DCO% &lt;0.05 (Osmanabad &amp; Beed) to 19.4 (Patiala); O&amp;U% 1.8 (Hyderabad) to 13.0 (Patiala)</t>
  </si>
  <si>
    <t xml:space="preserve">Highest mortality-to-incidence ratio: Barshi rural 67.2%, Wardha 59.2%, Mumbai 56.0%</t>
  </si>
  <si>
    <t xml:space="preserve">1068</t>
  </si>
  <si>
    <t xml:space="preserve">Registry network analysed</t>
  </si>
  <si>
    <t xml:space="preserve">28 PBCRs and 58 HBCRs (667,666 patients) of 36 PBCRs and 236 HBCRs registered</t>
  </si>
  <si>
    <t xml:space="preserve">PBCRs cover ~100 million person-years (~10% of India); trend analysis uses 16 PBCRs with 11-35 years of data</t>
  </si>
  <si>
    <t xml:space="preserve">1064-1065, 1071</t>
  </si>
  <si>
    <t xml:space="preserve">NCRP vs IARC/GLOBOCAN 2018 national estimate</t>
  </si>
  <si>
    <t xml:space="preserve">1,392,179 (NCRP, 2020) vs 1,157,294 (2018)</t>
  </si>
  <si>
    <t xml:space="preserve">Difference attributed to methodology and use of recent data</t>
  </si>
  <si>
    <t xml:space="preserve">1072</t>
  </si>
  <si>
    <t xml:space="preserve">Prevention</t>
  </si>
  <si>
    <t xml:space="preserve">Preventable share of cancers</t>
  </si>
  <si>
    <t xml:space="preserve">Approximately 70%</t>
  </si>
  <si>
    <t xml:space="preserve">Tobacco and air pollution main lung-cancer risk factors; breast and cervix need screening/awareness</t>
  </si>
  <si>
    <t xml:space="preserve">1071</t>
  </si>
  <si>
    <t xml:space="preserve">Context</t>
  </si>
  <si>
    <t xml:space="preserve">NCD burden</t>
  </si>
  <si>
    <t xml:space="preserve">NCDs: 71% of deaths globally, 63% in India; cancer 9% of deaths in India</t>
  </si>
  <si>
    <t xml:space="preserve">1063</t>
  </si>
  <si>
    <t xml:space="preserve">Maharashtra Fact Sheet 2021</t>
  </si>
  <si>
    <t xml:space="preserve">Cancer in India's NCD burden</t>
  </si>
  <si>
    <t xml:space="preserve">NCDs 63% of deaths in India; cancers 9%; close to half of cancer deaths avoidable</t>
  </si>
  <si>
    <t xml:space="preserve">1</t>
  </si>
  <si>
    <t xml:space="preserve">Registries</t>
  </si>
  <si>
    <t xml:space="preserve">Maharashtra registry network</t>
  </si>
  <si>
    <t xml:space="preserve">8 PBCRs (Aurangabad, Osmanabad &amp; Beed, Barshi rural, Mumbai, Pune, Wardha, Nagpur, Nagpur rural) and 5 HBCRs</t>
  </si>
  <si>
    <t xml:space="preserve">Nagpur rural established 2020; PBCRs 1963 (Mumbai) to 2020</t>
  </si>
  <si>
    <t xml:space="preserve">2</t>
  </si>
  <si>
    <t xml:space="preserve">Cumulative risk 0-74 by registry</t>
  </si>
  <si>
    <t xml:space="preserve">Highest Mumbai: males 1 in 9, females 1 in 8; lowest Osmanabad &amp; Beed: males 1 in 23, females 1 in 19</t>
  </si>
  <si>
    <t xml:space="preserve">4</t>
  </si>
  <si>
    <t xml:space="preserve">Five leading sites</t>
  </si>
  <si>
    <t xml:space="preserve">Males: mouth 11.1, lung 8.4, prostate 7.0, tongue 6.1, liver 4.9; females: breast 29.9, cervix 11.0, ovary 6.3, lung 4.2, mouth 3.7</t>
  </si>
  <si>
    <t xml:space="preserve">See sheet MH Sites &amp; Tobacco</t>
  </si>
  <si>
    <t xml:space="preserve">Tobacco-associated cancers</t>
  </si>
  <si>
    <t xml:space="preserve">Males 40.6%; females 15.6%</t>
  </si>
  <si>
    <t xml:space="preserve">% of cancers</t>
  </si>
  <si>
    <t xml:space="preserve">Male: mouth 27, lung 21, tongue 15; female: lung 27, mouth 24, oesophagus 19</t>
  </si>
  <si>
    <t xml:space="preserve">5</t>
  </si>
  <si>
    <t xml:space="preserve">Projected cases Maharashtra</t>
  </si>
  <si>
    <t xml:space="preserve">2020: 54,961 M + 61,160 F; 2025: 61,703 M + 68,762 F</t>
  </si>
  <si>
    <t xml:space="preserve">See sheet MH Projections</t>
  </si>
  <si>
    <t xml:space="preserve">6</t>
  </si>
  <si>
    <t xml:space="preserve">Age pattern</t>
  </si>
  <si>
    <t xml:space="preserve">Age-specific incidence (all sites, 2020)</t>
  </si>
  <si>
    <t xml:space="preserve">Rates rise steeply after age 40; women higher through the mid-60s, men higher after</t>
  </si>
  <si>
    <t xml:space="preserve">Chart only, no printed values</t>
  </si>
  <si>
    <t xml:space="preserve">#</t>
  </si>
  <si>
    <t xml:space="preserve">Check</t>
  </si>
  <si>
    <t xml:space="preserve">Value A - description</t>
  </si>
  <si>
    <t xml:space="preserve">Value A</t>
  </si>
  <si>
    <t xml:space="preserve">Value B - description</t>
  </si>
  <si>
    <t xml:space="preserve">Value B</t>
  </si>
  <si>
    <t xml:space="preserve">Difference (A - B)</t>
  </si>
  <si>
    <t xml:space="preserve">Tolerance</t>
  </si>
  <si>
    <t xml:space="preserve">Status</t>
  </si>
  <si>
    <t xml:space="preserve">Comment</t>
  </si>
  <si>
    <t xml:space="preserve">India 2020 cases</t>
  </si>
  <si>
    <t xml:space="preserve">Sum of 37 states, "2020 Observed" (existing sheet)</t>
  </si>
  <si>
    <t xml:space="preserve">JCO 2020 projected national cases</t>
  </si>
  <si>
    <t xml:space="preserve">Identical: the existing "observed" 2020 column is the NCRP national projection, not raw registry counts.</t>
  </si>
  <si>
    <t xml:space="preserve">India 2022 cases</t>
  </si>
  <si>
    <t xml:space="preserve">Sum of 37 states, "2022 Observed" (existing sheet)</t>
  </si>
  <si>
    <t xml:space="preserve">IJMR 2022 estimated national cases (Table I)</t>
  </si>
  <si>
    <t xml:space="preserve">Identical: the existing "2022 Observed" column equals the IJMR NCRP estimate.</t>
  </si>
  <si>
    <t xml:space="preserve">Maharashtra 2020 cases</t>
  </si>
  <si>
    <t xml:space="preserve">Maharashtra "2020 Observed" (existing sheet)</t>
  </si>
  <si>
    <t xml:space="preserve">Fact sheet projection 2020 (M + F)</t>
  </si>
  <si>
    <t xml:space="preserve">Identical: state data trace back to NCRP projections.</t>
  </si>
  <si>
    <t xml:space="preserve">Maharashtra share of India, 2020</t>
  </si>
  <si>
    <t xml:space="preserve">Existing-sheet Maharashtra / India 2020</t>
  </si>
  <si>
    <t xml:space="preserve">Fact-sheet Maharashtra / JCO India 2020</t>
  </si>
  <si>
    <t xml:space="preserve">India 2020 cases across papers</t>
  </si>
  <si>
    <t xml:space="preserve">IJMR Table III both sexes 2020</t>
  </si>
  <si>
    <t xml:space="preserve">JCO Table 2 all sites 2020</t>
  </si>
  <si>
    <t xml:space="preserve">Two NCRP papers agree on the 2020 projection.</t>
  </si>
  <si>
    <t xml:space="preserve">IJMR 2022 male + female = both sexes</t>
  </si>
  <si>
    <t xml:space="preserve">Male + female cases (Table I)</t>
  </si>
  <si>
    <t xml:space="preserve">Both sexes cases (Table I)</t>
  </si>
  <si>
    <t xml:space="preserve">Internal consistency of Table I.</t>
  </si>
  <si>
    <t xml:space="preserve">2025 vs 2020 growth (%)</t>
  </si>
  <si>
    <t xml:space="preserve">Computed from Table III (rounded to 0.1)</t>
  </si>
  <si>
    <t xml:space="preserve">Paper text</t>
  </si>
  <si>
    <t xml:space="preserve">2025 vs 2015 growth (%)</t>
  </si>
  <si>
    <t xml:space="preserve">2022 vs 2020 growth (%)</t>
  </si>
  <si>
    <t xml:space="preserve">Computed from Table I and JCO Table 2</t>
  </si>
  <si>
    <t xml:space="preserve">Paper text ("five per cent")</t>
  </si>
  <si>
    <t xml:space="preserve">Text rounds 4.98% to 5%.</t>
  </si>
  <si>
    <t xml:space="preserve">Table I, lung and bronchus, both sexes</t>
  </si>
  <si>
    <t xml:space="preserve">Paper discussion text (1,03,371)</t>
  </si>
  <si>
    <t xml:space="preserve">Population aged 60+, 2022 (%)</t>
  </si>
  <si>
    <t xml:space="preserve">Pyramid data, male/female average</t>
  </si>
  <si>
    <t xml:space="preserve">Confirms which pyramid is 2022.</t>
  </si>
  <si>
    <t xml:space="preserve">Population aged 60+, 2011 (%)</t>
  </si>
  <si>
    <t xml:space="preserve">Confirms which pyramid is 2011.</t>
  </si>
  <si>
    <t xml:space="preserve">Lymphoid leukaemia share, boys 0-14 (%)</t>
  </si>
  <si>
    <t xml:space="preserve">Table II (printed)</t>
  </si>
  <si>
    <t xml:space="preserve">Abstract (printed)</t>
  </si>
  <si>
    <t xml:space="preserve">Source discrepancy: abstract 29.2% vs table 29.3% (table used in workbook).</t>
  </si>
  <si>
    <t xml:space="preserve">Lymphoid leukaemia share, girls 0-14 (%)</t>
  </si>
  <si>
    <t xml:space="preserve">Source discrepancy: abstract 24.2% vs table 24.3% (table used in workbook).</t>
  </si>
  <si>
    <t xml:space="preserve">Tobacco shares: printed vs recomputed</t>
  </si>
  <si>
    <t xml:space="preserve">Mean absolute difference, 32 registries x 2 sexes (pct-pts)</t>
  </si>
  <si>
    <t xml:space="preserve">Expected</t>
  </si>
  <si>
    <t xml:space="preserve">Small differences are rounding in the printed rates.</t>
  </si>
  <si>
    <t xml:space="preserve">Stage rows not summing to ~100%</t>
  </si>
  <si>
    <t xml:space="preserve">Rows with |total - 100| &gt; 0.15</t>
  </si>
  <si>
    <t xml:space="preserve">Breast: significant APC increases</t>
  </si>
  <si>
    <t xml:space="preserve">Count in Cancer Trends (APC)</t>
  </si>
  <si>
    <t xml:space="preserve">Paper: all registries except Nagpur (16 analysed)</t>
  </si>
  <si>
    <t xml:space="preserve">Cervix: significant APC decreases</t>
  </si>
  <si>
    <t xml:space="preserve">Lung (female): significant APC increases</t>
  </si>
  <si>
    <t xml:space="preserve">All sites (male): registries with rising trend</t>
  </si>
  <si>
    <t xml:space="preserve">Count APC &gt; 0</t>
  </si>
  <si>
    <t xml:space="preserve">All sites (female): registries with rising trend</t>
  </si>
  <si>
    <t xml:space="preserve">Gender ratio, Maharashtra</t>
  </si>
  <si>
    <t xml:space="preserve">Recomputed from population</t>
  </si>
  <si>
    <t xml:space="preserve">Fact sheet (printed)</t>
  </si>
  <si>
    <t xml:space="preserve">Printed value is rounded.</t>
  </si>
  <si>
    <t xml:space="preserve">Existing 2026 projection vs IJMR 2025 projection</t>
  </si>
  <si>
    <t xml:space="preserve">Sum of states, Predicted 2026 (Kumar 2026)</t>
  </si>
  <si>
    <t xml:space="preserve">IJMR 2022 projected 2025 (both sexes)</t>
  </si>
  <si>
    <t xml:space="preserve">Info only</t>
  </si>
  <si>
    <t xml:space="preserve">Different target years (2026 vs 2025) and different models; shown for context only.</t>
  </si>
  <si>
    <t xml:space="preserve">Fact-sheet map values vs JCO Table 1</t>
  </si>
  <si>
    <t xml:space="preserve">Annual cases, crude rates and age-adjusted rates for the 7 Maharashtra PBCRs (fact sheet p3)</t>
  </si>
  <si>
    <t xml:space="preserve">JCO 2020 Table 1</t>
  </si>
  <si>
    <t xml:space="preserve">Match (manual)</t>
  </si>
  <si>
    <t xml:space="preserve">All 7 registries x 2 sexes x 3 measures were compared by eye; no differences. The childhood-cancer map has no counterpart in JCO.</t>
  </si>
  <si>
    <t xml:space="preserve">Summary: checks passing</t>
  </si>
  <si>
    <t xml:space="preserve">State/UT</t>
  </si>
  <si>
    <t xml:space="preserve">2019 Observed</t>
  </si>
  <si>
    <t xml:space="preserve">2020 Observed</t>
  </si>
  <si>
    <t xml:space="preserve">2021 Observed</t>
  </si>
  <si>
    <t xml:space="preserve">2022 Observed</t>
  </si>
  <si>
    <t xml:space="preserve">Predicted 2026</t>
  </si>
  <si>
    <t xml:space="preserve">Predicted 2030</t>
  </si>
  <si>
    <t xml:space="preserve">Predicted 2045</t>
  </si>
  <si>
    <t xml:space="preserve">Region (NCRP zone)</t>
  </si>
  <si>
    <t xml:space="preserve">NCRP PBCR representation used for state estimates</t>
  </si>
  <si>
    <t xml:space="preserve">CAGR 2019-22 (observed)</t>
  </si>
  <si>
    <t xml:space="preserve">CAGR 2022-26 (projected)</t>
  </si>
  <si>
    <t xml:space="preserve">CAGR 2022-45 (projected)</t>
  </si>
  <si>
    <t xml:space="preserve">Share of all-India 2022 cases</t>
  </si>
  <si>
    <t xml:space="preserve">Projected 2045 / 2022 (x)</t>
  </si>
  <si>
    <t xml:space="preserve">Jammu and Kashmir</t>
  </si>
  <si>
    <t xml:space="preserve">North</t>
  </si>
  <si>
    <t xml:space="preserve">Pooled Rest of India</t>
  </si>
  <si>
    <t xml:space="preserve">Ladakh</t>
  </si>
  <si>
    <t xml:space="preserve">Himachal Pradesh</t>
  </si>
  <si>
    <t xml:space="preserve">Punjab</t>
  </si>
  <si>
    <t xml:space="preserve">Patiala</t>
  </si>
  <si>
    <t xml:space="preserve">Chandigarh</t>
  </si>
  <si>
    <t xml:space="preserve">Uttaranchal</t>
  </si>
  <si>
    <t xml:space="preserve">Haryana</t>
  </si>
  <si>
    <t xml:space="preserve">Delhi</t>
  </si>
  <si>
    <t xml:space="preserve">Rajasthan</t>
  </si>
  <si>
    <t xml:space="preserve">Central</t>
  </si>
  <si>
    <t xml:space="preserve">Uttar Pradesh</t>
  </si>
  <si>
    <t xml:space="preserve">Bihar</t>
  </si>
  <si>
    <t xml:space="preserve">East</t>
  </si>
  <si>
    <t xml:space="preserve">Sikkim</t>
  </si>
  <si>
    <t xml:space="preserve">North East</t>
  </si>
  <si>
    <t xml:space="preserve">Sikkim state</t>
  </si>
  <si>
    <t xml:space="preserve">Arunachal Pradesh</t>
  </si>
  <si>
    <t xml:space="preserve">Pooled (West Arunachal, Pasighat)</t>
  </si>
  <si>
    <t xml:space="preserve">Nagaland</t>
  </si>
  <si>
    <t xml:space="preserve">Kohima, Dimapur</t>
  </si>
  <si>
    <t xml:space="preserve">Manipur</t>
  </si>
  <si>
    <t xml:space="preserve">Manipur state</t>
  </si>
  <si>
    <t xml:space="preserve">Mizoram</t>
  </si>
  <si>
    <t xml:space="preserve">Mizoram state</t>
  </si>
  <si>
    <t xml:space="preserve">Tripura</t>
  </si>
  <si>
    <t xml:space="preserve">Tripura state</t>
  </si>
  <si>
    <t xml:space="preserve">Meghalaya</t>
  </si>
  <si>
    <t xml:space="preserve">Assam</t>
  </si>
  <si>
    <t xml:space="preserve">Pooled (Cachar, Kamrup, Dibrugarh)</t>
  </si>
  <si>
    <t xml:space="preserve">West Bengal</t>
  </si>
  <si>
    <t xml:space="preserve">Jharkhand</t>
  </si>
  <si>
    <t xml:space="preserve">Orissa</t>
  </si>
  <si>
    <t xml:space="preserve">Chhattisgarh</t>
  </si>
  <si>
    <t xml:space="preserve">Madhya Pradesh</t>
  </si>
  <si>
    <t xml:space="preserve">Gujarat</t>
  </si>
  <si>
    <t xml:space="preserve">West</t>
  </si>
  <si>
    <t xml:space="preserve">Daman</t>
  </si>
  <si>
    <t xml:space="preserve">Dadra and Nagar Haveli</t>
  </si>
  <si>
    <t xml:space="preserve">Pooled Maharashtra</t>
  </si>
  <si>
    <t xml:space="preserve">Telangana</t>
  </si>
  <si>
    <t xml:space="preserve">South</t>
  </si>
  <si>
    <t xml:space="preserve">Pooled South</t>
  </si>
  <si>
    <t xml:space="preserve">Andhra Pradesh</t>
  </si>
  <si>
    <t xml:space="preserve">Karnataka</t>
  </si>
  <si>
    <t xml:space="preserve">Goa</t>
  </si>
  <si>
    <t xml:space="preserve">Lakshadweep</t>
  </si>
  <si>
    <t xml:space="preserve">Kerala</t>
  </si>
  <si>
    <t xml:space="preserve">Thiruvananthapuram district, Kollam district</t>
  </si>
  <si>
    <t xml:space="preserve">Tamil Nadu</t>
  </si>
  <si>
    <t xml:space="preserve">Chennai-U, Dindigul-R</t>
  </si>
  <si>
    <t xml:space="preserve">Pondicherry</t>
  </si>
  <si>
    <t xml:space="preserve">Andaman and Nicobar Islands</t>
  </si>
  <si>
    <t xml:space="preserve">All India (sum of 37 states/UTs)</t>
  </si>
  <si>
    <t xml:space="preserve">Source note</t>
  </si>
  <si>
    <t xml:space="preserve">Values transcribed from Table 1 in the uploaded PDF. State/UT labels are retained as printed in the source (e.g., Uttaranchal, Orissa, Pondicherry, Daman).</t>
  </si>
  <si>
    <t xml:space="preserve">Added columns</t>
  </si>
  <si>
    <t xml:space="preserve">Columns I-J: region and PBCR representation from Supplementary Table I of the IJMR 2022 paper (Sathishkumar et al.). Columns K-O (green headers) are formulas derived from columns B-H; row 39 sums the 37 states/UTs.</t>
  </si>
  <si>
    <t xml:space="preserve">Important caveat</t>
  </si>
  <si>
    <t xml:space="preserve">The all-India sums for "2020 Observed" (1,392,179) and "2022 Observed" (1,461,427) equal the NCRP national ESTIMATES published in the JCO 2020 and IJMR 2022 papers; Maharashtra 2020 (116,121) equals the NCRP Maharashtra projection (54,961 + 61,160). These columns are therefore model-based NCRP estimates, not raw registry counts. See sheet Cross-Validation.</t>
  </si>
  <si>
    <t xml:space="preserve">Site (ICD-10 group)</t>
  </si>
  <si>
    <t xml:space="preserve">Level</t>
  </si>
  <si>
    <t xml:space="preserve">Parent group</t>
  </si>
  <si>
    <t xml:space="preserve">Male - estimated cases 2022</t>
  </si>
  <si>
    <t xml:space="preserve">Male - crude rate /100,000</t>
  </si>
  <si>
    <t xml:space="preserve">Male - age-adjusted rate /100,000</t>
  </si>
  <si>
    <t xml:space="preserve">Male - cum. risk 0-74 (1 in N)</t>
  </si>
  <si>
    <t xml:space="preserve">Female - estimated cases 2022</t>
  </si>
  <si>
    <t xml:space="preserve">Female - crude rate /100,000</t>
  </si>
  <si>
    <t xml:space="preserve">Female - age-adjusted rate /100,000</t>
  </si>
  <si>
    <t xml:space="preserve">Female - cum. risk 0-74 (1 in N)</t>
  </si>
  <si>
    <t xml:space="preserve">Both sexes - estimated cases 2022</t>
  </si>
  <si>
    <t xml:space="preserve">Both sexes - crude rate /100,000</t>
  </si>
  <si>
    <t xml:space="preserve">Both sexes - age-adjusted rate /100,000</t>
  </si>
  <si>
    <t xml:space="preserve">Both sexes - cum. risk 0-74 (1 in N)</t>
  </si>
  <si>
    <t xml:space="preserve">Share of all-site cases (both sexes)</t>
  </si>
  <si>
    <t xml:space="preserve">Female : male case ratio</t>
  </si>
  <si>
    <t xml:space="preserve">Both sexes - 2020 projected cases (JCO)</t>
  </si>
  <si>
    <t xml:space="preserve">Change in cases 2020 to 2022</t>
  </si>
  <si>
    <t xml:space="preserve">All sites</t>
  </si>
  <si>
    <t xml:space="preserve">Total</t>
  </si>
  <si>
    <t xml:space="preserve">Oral cavity and pharynx</t>
  </si>
  <si>
    <t xml:space="preserve">Tongue</t>
  </si>
  <si>
    <t xml:space="preserve">Site</t>
  </si>
  <si>
    <t xml:space="preserve">Mouth</t>
  </si>
  <si>
    <t xml:space="preserve">Pharynx</t>
  </si>
  <si>
    <t xml:space="preserve">Other oral cavity</t>
  </si>
  <si>
    <t xml:space="preserve">Digestive system</t>
  </si>
  <si>
    <t xml:space="preserve">Oesophagus</t>
  </si>
  <si>
    <t xml:space="preserve">Stomach</t>
  </si>
  <si>
    <t xml:space="preserve">Small intestine</t>
  </si>
  <si>
    <t xml:space="preserve">Colon</t>
  </si>
  <si>
    <t xml:space="preserve">Rectum</t>
  </si>
  <si>
    <t xml:space="preserve">Anus, anal canal</t>
  </si>
  <si>
    <t xml:space="preserve">Liver and intrahepatic bile duct</t>
  </si>
  <si>
    <t xml:space="preserve">Gallbladder and other biliary</t>
  </si>
  <si>
    <t xml:space="preserve">Pancreas</t>
  </si>
  <si>
    <t xml:space="preserve">Respiratory system</t>
  </si>
  <si>
    <t xml:space="preserve">Larynx</t>
  </si>
  <si>
    <t xml:space="preserve">Lung and bronchus</t>
  </si>
  <si>
    <t xml:space="preserve">Other respiratory organs</t>
  </si>
  <si>
    <t xml:space="preserve">Bones and joints</t>
  </si>
  <si>
    <t xml:space="preserve">Soft tissue</t>
  </si>
  <si>
    <t xml:space="preserve">Skin (excluding basal and squamous)</t>
  </si>
  <si>
    <t xml:space="preserve">Melanoma of the skin</t>
  </si>
  <si>
    <t xml:space="preserve">Other non-epithelial skin</t>
  </si>
  <si>
    <t xml:space="preserve">Breast</t>
  </si>
  <si>
    <t xml:space="preserve">Genital system</t>
  </si>
  <si>
    <t xml:space="preserve">Uterine cervix</t>
  </si>
  <si>
    <t xml:space="preserve">Uterine corpus</t>
  </si>
  <si>
    <t xml:space="preserve">Ovary</t>
  </si>
  <si>
    <t xml:space="preserve">Vulva</t>
  </si>
  <si>
    <t xml:space="preserve">Vagina and other genital, female</t>
  </si>
  <si>
    <t xml:space="preserve">Placenta</t>
  </si>
  <si>
    <t xml:space="preserve">Prostate</t>
  </si>
  <si>
    <t xml:space="preserve">Testis</t>
  </si>
  <si>
    <t xml:space="preserve">Penis and other genital, male</t>
  </si>
  <si>
    <t xml:space="preserve">Urinary system</t>
  </si>
  <si>
    <t xml:space="preserve">Urinary bladder</t>
  </si>
  <si>
    <t xml:space="preserve">Kidney and renal pelvis</t>
  </si>
  <si>
    <t xml:space="preserve">Ureter and other urinary organs</t>
  </si>
  <si>
    <t xml:space="preserve">Eye and orbit</t>
  </si>
  <si>
    <t xml:space="preserve">Brain and other nervous system</t>
  </si>
  <si>
    <t xml:space="preserve">Endocrine system</t>
  </si>
  <si>
    <t xml:space="preserve">Thyroid</t>
  </si>
  <si>
    <t xml:space="preserve">Adrenal gland</t>
  </si>
  <si>
    <t xml:space="preserve">Lymphoma</t>
  </si>
  <si>
    <t xml:space="preserve">Hodgkin lymphoma</t>
  </si>
  <si>
    <t xml:space="preserve">Non-Hodgkin lymphoma</t>
  </si>
  <si>
    <t xml:space="preserve">Malignant immunoproliferative diseases</t>
  </si>
  <si>
    <t xml:space="preserve">Multiple myeloma</t>
  </si>
  <si>
    <t xml:space="preserve">Leukaemia</t>
  </si>
  <si>
    <t xml:space="preserve">Lymphoid leukaemia</t>
  </si>
  <si>
    <t xml:space="preserve">Myeloid leukaemia</t>
  </si>
  <si>
    <t xml:space="preserve">Leukaemia unspecified</t>
  </si>
  <si>
    <t xml:space="preserve">Other and unspecified primary sites</t>
  </si>
  <si>
    <t xml:space="preserve">Source: Sathishkumar K et al. Cancer incidence estimates for 2022 &amp; projection for 2025. Indian J Med Res 2022;156:598-607, Table I. Blank = site not applicable to that sex. "Malig Imn.Prol D" in the source = malignant immunoproliferative diseases. Column R links to sheet India Sites 2020 (same row order).</t>
  </si>
  <si>
    <t xml:space="preserve">Male - projected cases 2020</t>
  </si>
  <si>
    <t xml:space="preserve">Female - projected cases 2020</t>
  </si>
  <si>
    <t xml:space="preserve">Both sexes - projected cases 2020</t>
  </si>
  <si>
    <t xml:space="preserve">Source: Mathur P et al. Cancer Statistics, 2020: Report from NCRP, India. JCO Glob Oncol 2020;6:1063-75, Table 2 (Projected incidence of cancer, India 2020). Blank = site not applicable to that sex. Cum. risk is stored as N for "1 in N". Based on 2012-2016 registry rates assumed constant to 2020.</t>
  </si>
  <si>
    <t xml:space="preserve">Age group</t>
  </si>
  <si>
    <t xml:space="preserve">Sex</t>
  </si>
  <si>
    <t xml:space="preserve">Rank</t>
  </si>
  <si>
    <t xml:space="preserve">Cancer site</t>
  </si>
  <si>
    <t xml:space="preserve">ICD-10 codes</t>
  </si>
  <si>
    <t xml:space="preserve">Estimated cases 2022 (n)</t>
  </si>
  <si>
    <t xml:space="preserve">Share of age-sex total (% as printed)</t>
  </si>
  <si>
    <t xml:space="preserve">Share recomputed (%)</t>
  </si>
  <si>
    <t xml:space="preserve">Row type</t>
  </si>
  <si>
    <t xml:space="preserve">Check: listed rows - All sites</t>
  </si>
  <si>
    <t xml:space="preserve">0-14 yr</t>
  </si>
  <si>
    <t xml:space="preserve">Male</t>
  </si>
  <si>
    <t xml:space="preserve">C91</t>
  </si>
  <si>
    <t xml:space="preserve">Top-5 site</t>
  </si>
  <si>
    <t xml:space="preserve">Brain and NS</t>
  </si>
  <si>
    <t xml:space="preserve">C70-C72</t>
  </si>
  <si>
    <t xml:space="preserve">NHL</t>
  </si>
  <si>
    <t xml:space="preserve">C82-86, C96</t>
  </si>
  <si>
    <t xml:space="preserve">Hodgkin's disease</t>
  </si>
  <si>
    <t xml:space="preserve">C81</t>
  </si>
  <si>
    <t xml:space="preserve">C92-C94</t>
  </si>
  <si>
    <t xml:space="preserve">Other sites</t>
  </si>
  <si>
    <t xml:space="preserve">Other</t>
  </si>
  <si>
    <t xml:space="preserve">Female</t>
  </si>
  <si>
    <t xml:space="preserve">Bone</t>
  </si>
  <si>
    <t xml:space="preserve">C40-C41</t>
  </si>
  <si>
    <t xml:space="preserve">15-39 yr</t>
  </si>
  <si>
    <t xml:space="preserve">C03-C06</t>
  </si>
  <si>
    <t xml:space="preserve">C01-C02</t>
  </si>
  <si>
    <t xml:space="preserve">C50</t>
  </si>
  <si>
    <t xml:space="preserve">C73</t>
  </si>
  <si>
    <t xml:space="preserve">C56</t>
  </si>
  <si>
    <t xml:space="preserve">Cervix</t>
  </si>
  <si>
    <t xml:space="preserve">C53</t>
  </si>
  <si>
    <t xml:space="preserve">40-64 yr</t>
  </si>
  <si>
    <t xml:space="preserve">Lung</t>
  </si>
  <si>
    <t xml:space="preserve">C33-34</t>
  </si>
  <si>
    <t xml:space="preserve">C15</t>
  </si>
  <si>
    <t xml:space="preserve">C16</t>
  </si>
  <si>
    <t xml:space="preserve">Corpus uteri</t>
  </si>
  <si>
    <t xml:space="preserve">C54</t>
  </si>
  <si>
    <t xml:space="preserve">65+ yr</t>
  </si>
  <si>
    <t xml:space="preserve">C61</t>
  </si>
  <si>
    <t xml:space="preserve">Source: IJMR 2022 (Sathishkumar et al.), Table II - top five leading cancer sites by age group and sex, India 2022. NS = nervous system; NHL = non-Hodgkin lymphoma. Abstract text gives lymphoid leukaemia in boys/girls as 29.2%/24.2%; Table II prints 29.3%/24.3% (used here).</t>
  </si>
  <si>
    <t xml:space="preserve">Site (as in Fig. 1)</t>
  </si>
  <si>
    <t xml:space="preserve">Share of all cancers (%) - Fig. 1</t>
  </si>
  <si>
    <t xml:space="preserve">Matching site in Table I</t>
  </si>
  <si>
    <t xml:space="preserve">Estimated cases 2022 (Table I)</t>
  </si>
  <si>
    <t xml:space="preserve">Share recomputed from Table I (%)</t>
  </si>
  <si>
    <t xml:space="preserve">Difference (pct-points)</t>
  </si>
  <si>
    <t xml:space="preserve">Liver</t>
  </si>
  <si>
    <t xml:space="preserve">Gallbladder</t>
  </si>
  <si>
    <t xml:space="preserve">Source: IJMR 2022, Fig. 1 (estimated proportion of top 10 leading cancer sites by sex, India 2022). Cases are pulled from sheet India Sites 2022 to validate the printed percentages (differences are rounding only).</t>
  </si>
  <si>
    <t xml:space="preserve">Site (ICD-10)</t>
  </si>
  <si>
    <t xml:space="preserve">Cases 2015</t>
  </si>
  <si>
    <t xml:space="preserve">Cases 2020</t>
  </si>
  <si>
    <t xml:space="preserve">Cases 2025 (projected)</t>
  </si>
  <si>
    <t xml:space="preserve">Change 2015-2020</t>
  </si>
  <si>
    <t xml:space="preserve">Change 2020-2025</t>
  </si>
  <si>
    <t xml:space="preserve">Change 2015-2025</t>
  </si>
  <si>
    <t xml:space="preserve">CAGR 2015-2025</t>
  </si>
  <si>
    <t xml:space="preserve">Share of sex all-site cases 2025</t>
  </si>
  <si>
    <t xml:space="preserve">Lung (C33-34)</t>
  </si>
  <si>
    <t xml:space="preserve">Mouth (C03-C06)</t>
  </si>
  <si>
    <t xml:space="preserve">Prostate (C61)</t>
  </si>
  <si>
    <t xml:space="preserve">Tongue (C01-C02)</t>
  </si>
  <si>
    <t xml:space="preserve">Stomach (C16)</t>
  </si>
  <si>
    <t xml:space="preserve">Others</t>
  </si>
  <si>
    <t xml:space="preserve">Check: listed sites - All sites (should be 0)</t>
  </si>
  <si>
    <t xml:space="preserve">Breast (C50)</t>
  </si>
  <si>
    <t xml:space="preserve">Cervix (C53)</t>
  </si>
  <si>
    <t xml:space="preserve">Ovary (C56)</t>
  </si>
  <si>
    <t xml:space="preserve">Corpus uteri (C54)</t>
  </si>
  <si>
    <t xml:space="preserve">Both</t>
  </si>
  <si>
    <t xml:space="preserve">All sites (both sexes)</t>
  </si>
  <si>
    <t xml:space="preserve">Source: IJMR 2022, Table III - estimated trends in number of cancer cases for the leading sites in India (2015, 2020, 2025). Paper states: +12.8% in 2025 vs 2020; +27.7% from 2015 to 2025 (compare column G/H of the both-sexes row). Constant 2012-16 age-specific rates are applied to growing and ageing populations.</t>
  </si>
  <si>
    <t xml:space="preserve">Age group (years)</t>
  </si>
  <si>
    <t xml:space="preserve">Census 2011 - Male (%)</t>
  </si>
  <si>
    <t xml:space="preserve">Census 2011 - Female (%)</t>
  </si>
  <si>
    <t xml:space="preserve">Estimated 2022 - Male (%)</t>
  </si>
  <si>
    <t xml:space="preserve">Estimated 2022 - Female (%)</t>
  </si>
  <si>
    <t xml:space="preserve">Change in male share (pct-pts)</t>
  </si>
  <si>
    <t xml:space="preserve">Change in female share (pct-pts)</t>
  </si>
  <si>
    <t xml:space="preserve">0-4</t>
  </si>
  <si>
    <t xml:space="preserve">5-9</t>
  </si>
  <si>
    <t xml:space="preserve">10-14</t>
  </si>
  <si>
    <t xml:space="preserve">15-19</t>
  </si>
  <si>
    <t xml:space="preserve">20-24</t>
  </si>
  <si>
    <t xml:space="preserve">25-29</t>
  </si>
  <si>
    <t xml:space="preserve">30-34</t>
  </si>
  <si>
    <t xml:space="preserve">35-39</t>
  </si>
  <si>
    <t xml:space="preserve">40-44</t>
  </si>
  <si>
    <t xml:space="preserve">45-49</t>
  </si>
  <si>
    <t xml:space="preserve">50-54</t>
  </si>
  <si>
    <t xml:space="preserve">55-59</t>
  </si>
  <si>
    <t xml:space="preserve">60-64</t>
  </si>
  <si>
    <t xml:space="preserve">65-69</t>
  </si>
  <si>
    <t xml:space="preserve">70-74</t>
  </si>
  <si>
    <t xml:space="preserve">75+</t>
  </si>
  <si>
    <t xml:space="preserve">Column total (should be ~100)</t>
  </si>
  <si>
    <t xml:space="preserve">Aged 60+ (60-64 to 75+)</t>
  </si>
  <si>
    <t xml:space="preserve">Aged 0-14</t>
  </si>
  <si>
    <t xml:space="preserve">Aged 60+, both sexes (simple average of male and female %)</t>
  </si>
  <si>
    <t xml:space="preserve">Source: IJMR 2022 Supplementary Figure (population pyramids, % of population by age group, census 2011 vs estimated 2022). The text layer of the PDF does not label the two pyramids; assignment of the first 32 values to "2022" and the last 32 to "2011" was inferred because only that assignment reproduces the paper's statement that the 60+ share rose from 8.6% (2011) to 9.7% (2022).</t>
  </si>
  <si>
    <t xml:space="preserve">Registry</t>
  </si>
  <si>
    <t xml:space="preserve">Region</t>
  </si>
  <si>
    <t xml:space="preserve">Maharashtra registry</t>
  </si>
  <si>
    <t xml:space="preserve">Reference period</t>
  </si>
  <si>
    <t xml:space="preserve">Male - annual avg cases</t>
  </si>
  <si>
    <t xml:space="preserve">Male - age-adj. rate /100,000</t>
  </si>
  <si>
    <t xml:space="preserve">Male - age-adj. mortality rate /100,000</t>
  </si>
  <si>
    <t xml:space="preserve">Female - annual avg cases</t>
  </si>
  <si>
    <t xml:space="preserve">Female - age-adj. rate /100,000</t>
  </si>
  <si>
    <t xml:space="preserve">Female - age-adj. mortality rate /100,000</t>
  </si>
  <si>
    <t xml:space="preserve">Total annual avg cases (M+F)</t>
  </si>
  <si>
    <t xml:space="preserve">Male AAMR / AAR (%)</t>
  </si>
  <si>
    <t xml:space="preserve">Female AAMR / AAR (%)</t>
  </si>
  <si>
    <t xml:space="preserve">PBCR</t>
  </si>
  <si>
    <t xml:space="preserve">2012-14</t>
  </si>
  <si>
    <t xml:space="preserve">Patiala district</t>
  </si>
  <si>
    <t xml:space="preserve">2012-16</t>
  </si>
  <si>
    <t xml:space="preserve">Hyderabad district</t>
  </si>
  <si>
    <t xml:space="preserve">2014-16</t>
  </si>
  <si>
    <t xml:space="preserve">Kollam district</t>
  </si>
  <si>
    <t xml:space="preserve">Thiruvananthapuram district</t>
  </si>
  <si>
    <t xml:space="preserve">Bangalore</t>
  </si>
  <si>
    <t xml:space="preserve">Chennai</t>
  </si>
  <si>
    <t xml:space="preserve">Kolkata</t>
  </si>
  <si>
    <t xml:space="preserve">2012-15</t>
  </si>
  <si>
    <t xml:space="preserve">Ahmedabad urban</t>
  </si>
  <si>
    <t xml:space="preserve">Aurangabad</t>
  </si>
  <si>
    <t xml:space="preserve">Yes</t>
  </si>
  <si>
    <t xml:space="preserve">Osmanabad and Beed</t>
  </si>
  <si>
    <t xml:space="preserve">Barshi Rural</t>
  </si>
  <si>
    <t xml:space="preserve">Mumbai</t>
  </si>
  <si>
    <t xml:space="preserve">Pune</t>
  </si>
  <si>
    <t xml:space="preserve">Wardha district</t>
  </si>
  <si>
    <t xml:space="preserve">Bhopal</t>
  </si>
  <si>
    <t xml:space="preserve">Nagpur</t>
  </si>
  <si>
    <t xml:space="preserve">Imphal West district</t>
  </si>
  <si>
    <t xml:space="preserve">District within Manipur PBCR</t>
  </si>
  <si>
    <t xml:space="preserve">Aizawl district</t>
  </si>
  <si>
    <t xml:space="preserve">District within Mizoram PBCR</t>
  </si>
  <si>
    <t xml:space="preserve">West Arunachal</t>
  </si>
  <si>
    <t xml:space="preserve">Papumpare district</t>
  </si>
  <si>
    <t xml:space="preserve">District within West Arunachal PBCR</t>
  </si>
  <si>
    <t xml:space="preserve">East Khasi Hills</t>
  </si>
  <si>
    <t xml:space="preserve">District within Meghalaya PBCR</t>
  </si>
  <si>
    <t xml:space="preserve">Pasighat</t>
  </si>
  <si>
    <t xml:space="preserve">Cachar district</t>
  </si>
  <si>
    <t xml:space="preserve">Dibrugarh district</t>
  </si>
  <si>
    <t xml:space="preserve">Kamrup urban</t>
  </si>
  <si>
    <t xml:space="preserve">Source: JCO Glob Oncol 2020;6:1063-75, Table 1 (annual average number of patients, incidence rate per 100,000, cumulative risk and mortality rate for 28 PBCRs). Rows with Level = District are sub-registry districts printed beneath their parent PBCR. Meghalaya covers East Khasi Hills, West Khasi Hills, Jaintia Hills and Ri Bhoi; Nagaland covers Kohima and Dimapur; Pasighat covers East Siang and Upper Siang; West Arunachal covers Tawang, West Kameng, East Kameng, Upper Subansiri, Lower Subansiri, Kurung Kumey, Papumpare and West Siang. AAMR/AAR is a derived crude proxy; the paper's own mortality-to-incidence ratios (M:I%) are in Key Findings. Do not sum district rows with their parent PBCR.</t>
  </si>
  <si>
    <t xml:space="preserve">Male - share of cancers tobacco-associated (%)</t>
  </si>
  <si>
    <t xml:space="preserve">Male - tobacco-assoc. crude rate /100,000</t>
  </si>
  <si>
    <t xml:space="preserve">Male - tobacco-assoc. age-adj. rate /100,000</t>
  </si>
  <si>
    <t xml:space="preserve">Female - share of cancers tobacco-associated (%)</t>
  </si>
  <si>
    <t xml:space="preserve">Female - tobacco-assoc. crude rate /100,000</t>
  </si>
  <si>
    <t xml:space="preserve">Female - tobacco-assoc. age-adj. rate /100,000</t>
  </si>
  <si>
    <t xml:space="preserve">Male share recomputed (tobacco CR / all-site CR, %)</t>
  </si>
  <si>
    <t xml:space="preserve">Female share recomputed (%)</t>
  </si>
  <si>
    <t xml:space="preserve">Source: JCO 2020, Fig. 2 - sites of cancer associated with tobacco use (lip C00; tongue C01-C02; mouth C03-C06; pharynx C10, C12-C14; oesophagus C15; larynx C32; lung C33-C34; urinary bladder C67), 2012-2016. The figure prints the rate pair as (crude, age-adjusted) on the male side and (age-adjusted, crude) on the female side; they are normalised here, which is confirmed by the recomputed shares (cols I-J) matching the printed shares (cols C, F).</t>
  </si>
  <si>
    <t xml:space="preserve">Annual percentage change in age-adj. rate (APC, %)</t>
  </si>
  <si>
    <t xml:space="preserve">Statistically significant (P &lt; .05)</t>
  </si>
  <si>
    <t xml:space="preserve">Direction</t>
  </si>
  <si>
    <t xml:space="preserve">Significant increase / decrease</t>
  </si>
  <si>
    <t xml:space="preserve">Thiruvananthapuram taluk</t>
  </si>
  <si>
    <t xml:space="preserve">No</t>
  </si>
  <si>
    <t xml:space="preserve">Cervix uteri</t>
  </si>
  <si>
    <t xml:space="preserve">Head &amp; neck</t>
  </si>
  <si>
    <t xml:space="preserve">Source: JCO 2020, Fig. 4 - APC in age-adjusted incidence rates (Joinpoint regression; 16 PBCRs with &gt;=10 years of data). Values were read from the bar-chart images (label and value pairs); asterisk in the figure = significant (P &lt; .05). Calendar years of data: Chennai 1982-2016; Mumbai 1982-2015; Bangalore 1982-2014; Barshi rural 1988-2016; Bhopal 1988-2015; Delhi 1988-2014; Kamrup urban 2003-2016; Mizoram state 2004-2016; Nagpur 2005-2016; Pune 2006-2016 (other registries as listed in the figure caption). Registries with &lt;10 patients per year were not analysed. Thiruvananthapuram PBCR expanded to district level from 2012, so taluk data were used.</t>
  </si>
  <si>
    <t xml:space="preserve">Data source</t>
  </si>
  <si>
    <t xml:space="preserve">Population / note</t>
  </si>
  <si>
    <t xml:space="preserve">Localised only (%)</t>
  </si>
  <si>
    <t xml:space="preserve">Loco-regional (%)</t>
  </si>
  <si>
    <t xml:space="preserve">Distant metastasis (%)</t>
  </si>
  <si>
    <t xml:space="preserve">Unknown extent (%)</t>
  </si>
  <si>
    <t xml:space="preserve">Total (%)</t>
  </si>
  <si>
    <t xml:space="preserve">Advanced at diagnosis: loco-regional + distant (%)</t>
  </si>
  <si>
    <t xml:space="preserve">Basis / reading note</t>
  </si>
  <si>
    <t xml:space="preserve">India - 58 HBCRs (JCO Fig 3)</t>
  </si>
  <si>
    <t xml:space="preserve">N = 667,666 patients, 2012-2016</t>
  </si>
  <si>
    <t xml:space="preserve">Series assignment inferred (text confirms loco-regional 57.0%)</t>
  </si>
  <si>
    <t xml:space="preserve">Series assignment inferred (text confirms loco-regional 60.0%)</t>
  </si>
  <si>
    <t xml:space="preserve">Both sexes</t>
  </si>
  <si>
    <t xml:space="preserve">Series assignment inferred (text confirms loco-regional 66.6%)</t>
  </si>
  <si>
    <t xml:space="preserve">Series assignment inferred (text confirms loco-regional 50.8%; localized &lt;1/5)</t>
  </si>
  <si>
    <t xml:space="preserve">Series assignment inferred (text confirms distant 44.0%)</t>
  </si>
  <si>
    <t xml:space="preserve">Series assignment inferred (text confirms distant 47.6%)</t>
  </si>
  <si>
    <t xml:space="preserve">Maharashtra - 3 HBCRs (Fact Sheet p5)</t>
  </si>
  <si>
    <t xml:space="preserve">Hospital data, may not represent whole state</t>
  </si>
  <si>
    <t xml:space="preserve">As printed on bar chart</t>
  </si>
  <si>
    <t xml:space="preserve">Sources: JCO 2020 Fig. 3 (58 hospital-based cancer registries, patients diagnosed 2012-2016, pre-treatment clinical extent of disease) and Maharashtra Fact Sheet 2021 section C (three Maharashtra HBCRs, not representative of the whole state). Totals may differ slightly from 100 due to rounding in the source. For the JCO figure the PDF text layer lists values without series labels; series were assigned using the percentages quoted in the paper text.</t>
  </si>
  <si>
    <t xml:space="preserve">Characteristic</t>
  </si>
  <si>
    <t xml:space="preserve">GLOBOCAN (refs 1,2)</t>
  </si>
  <si>
    <t xml:space="preserve">GBD (India State-Level Disease Burden Initiative)</t>
  </si>
  <si>
    <t xml:space="preserve">NCRP (IJMR 2022 estimates)</t>
  </si>
  <si>
    <t xml:space="preserve">Data sources</t>
  </si>
  <si>
    <t xml:space="preserve">PBCRs (27) from the NCRP 2012-2014 and Dindigul, Mansa, Sangrur PBCRs incidence data</t>
  </si>
  <si>
    <t xml:space="preserve">PBCRs (42) and Sample Registration System, cause of death data from India. Cancer registry data were used as the gold standard</t>
  </si>
  <si>
    <t xml:space="preserve">PBCRs (28) from the NCRP, 2020 report of 2012-2016 and Dindigul PBCR incidence data</t>
  </si>
  <si>
    <t xml:space="preserve">Population estimates</t>
  </si>
  <si>
    <t xml:space="preserve">North East States, India's rural and urban population derived from United Nation and Census of India, 2011</t>
  </si>
  <si>
    <t xml:space="preserve">Not mentioned</t>
  </si>
  <si>
    <t xml:space="preserve">State wise population estimation based on Census of India, 2011</t>
  </si>
  <si>
    <t xml:space="preserve">Exclusion</t>
  </si>
  <si>
    <t xml:space="preserve">Hospital-Based Cancer Registry</t>
  </si>
  <si>
    <t xml:space="preserve">Weighted average of the most recent local rates applied to 2020 population</t>
  </si>
  <si>
    <t xml:space="preserve">Mortality estimates arrived by multiplying incidence with modelled mortality-incidence ratio</t>
  </si>
  <si>
    <t xml:space="preserve">The estimation of cancer incidence is based on registry data from India. Weighted average of the most recent local rates (2012-2016) applied to 2022 population</t>
  </si>
  <si>
    <t xml:space="preserve">Cancer measure</t>
  </si>
  <si>
    <t xml:space="preserve">Age specific incidence rate by site, sex and age</t>
  </si>
  <si>
    <t xml:space="preserve">Mortality data from vital registration used as base to calculate the different measures</t>
  </si>
  <si>
    <t xml:space="preserve">Age-specific incidence rate by site, sex and age</t>
  </si>
  <si>
    <t xml:space="preserve">Outcome</t>
  </si>
  <si>
    <t xml:space="preserve">Incidence and rates for India</t>
  </si>
  <si>
    <t xml:space="preserve">Cancer mortality, incidence and DALY's by State/India</t>
  </si>
  <si>
    <t xml:space="preserve">Source: IJMR 2022, Supplementary Table II - differences in burden estimation methods for India by selected sources. GLOBOCAN = Global Cancer Observatory; GBD = Global Burden of Disease; PBCR = population-based cancer registry; NCRP = National Cancer Registry Programme; DALY = disability-adjusted life years.</t>
  </si>
  <si>
    <t xml:space="preserve">PBCR (Maharashtra)</t>
  </si>
  <si>
    <t xml:space="preserve">Establishment year</t>
  </si>
  <si>
    <t xml:space="preserve">Implementing centre / location</t>
  </si>
  <si>
    <t xml:space="preserve">Coverage area</t>
  </si>
  <si>
    <t xml:space="preserve">Area (sq km)</t>
  </si>
  <si>
    <t xml:space="preserve">Urban (%)</t>
  </si>
  <si>
    <t xml:space="preserve">Rural (%)</t>
  </si>
  <si>
    <t xml:space="preserve">Total annual avg cases</t>
  </si>
  <si>
    <t xml:space="preserve">Male share of cases</t>
  </si>
  <si>
    <t xml:space="preserve">Male crude rate /100,000</t>
  </si>
  <si>
    <t xml:space="preserve">Female crude rate /100,000</t>
  </si>
  <si>
    <t xml:space="preserve">Male age-adj. rate /100,000</t>
  </si>
  <si>
    <t xml:space="preserve">Female age-adj. rate /100,000</t>
  </si>
  <si>
    <t xml:space="preserve">Male cum. risk 0-74 (1 in N)</t>
  </si>
  <si>
    <t xml:space="preserve">Female cum. risk 0-74 (1 in N)</t>
  </si>
  <si>
    <t xml:space="preserve">Indian Cancer Society, Mumbai</t>
  </si>
  <si>
    <t xml:space="preserve">Aurangabad City Agglomeration</t>
  </si>
  <si>
    <t xml:space="preserve">Nargis Dutt Memorial Cancer Hospital, Barshi</t>
  </si>
  <si>
    <t xml:space="preserve">2 Districts - Osmanabad &amp; Beed</t>
  </si>
  <si>
    <t xml:space="preserve">Rural area of 3 Taluks namely Barshi from Solapur district and Bhum &amp; Paranda from Osmanabad district</t>
  </si>
  <si>
    <t xml:space="preserve">Greater Mumbai (Mumbai City &amp; Mumbai Suburban District)</t>
  </si>
  <si>
    <t xml:space="preserve">Pune City Corporation</t>
  </si>
  <si>
    <t xml:space="preserve">Mahatma Gandhi Institute of Medical Sciences, Sevagram</t>
  </si>
  <si>
    <t xml:space="preserve">Wardha District</t>
  </si>
  <si>
    <t xml:space="preserve">Nagpur City Agglomeration</t>
  </si>
  <si>
    <t xml:space="preserve">Nagpur rural</t>
  </si>
  <si>
    <t xml:space="preserve">R.S.T. Regional Cancer Hospital &amp; Research Centre, Nagpur</t>
  </si>
  <si>
    <t xml:space="preserve">Rural areas of Saoner and Nagpur rural of Nagpur district</t>
  </si>
  <si>
    <t xml:space="preserve">Total - 7 registries with incidence data</t>
  </si>
  <si>
    <t xml:space="preserve">Hospital-based cancer registries (HBCRs) in Maharashtra - 5 hospitals</t>
  </si>
  <si>
    <t xml:space="preserve">Kokilaben Dhirubhai Ambani Hospital and Research Institute, Mumbai; Kolhapur Cancer Centre, Kolhapur; Pravara Institute of Medical Science, Loni; Rashtra Sant Tukdoji Regional Cancer Hospital and Research Centre, Nagpur; Tata Memorial Hospital, Mumbai</t>
  </si>
  <si>
    <t xml:space="preserve">Source: Maharashtra Fact Sheet 2021, section I.A (registry description) and the "Cancer incidence and risk" maps (pages 3-4); incidence columns H-Q are linked to sheet PBCR Incidence Table because the fact-sheet maps repeat the JCO Table 1 values for the same seven registries (verified one by one). Nagpur rural was established in 2020 and has no incidence data yet. The fact sheet also reports male/female proportions (e.g. Mumbai 48.9%/51.1%), recomputed in column K.</t>
  </si>
  <si>
    <t xml:space="preserve">Boys 0-14 - annual avg cases</t>
  </si>
  <si>
    <t xml:space="preserve">Girls 0-14 - annual avg cases</t>
  </si>
  <si>
    <t xml:space="preserve">Boys 0-14 - AAR per million</t>
  </si>
  <si>
    <t xml:space="preserve">Girls 0-14 - AAR per million</t>
  </si>
  <si>
    <t xml:space="preserve">Boys 0-19 - annual avg cases</t>
  </si>
  <si>
    <t xml:space="preserve">Girls 0-19 - annual avg cases</t>
  </si>
  <si>
    <t xml:space="preserve">Boys 0-19 - AAR per million</t>
  </si>
  <si>
    <t xml:space="preserve">Girls 0-19 - AAR per million</t>
  </si>
  <si>
    <t xml:space="preserve">Total 0-14 cases</t>
  </si>
  <si>
    <t xml:space="preserve">Boys : girls ratio (0-14 cases)</t>
  </si>
  <si>
    <t xml:space="preserve">Total 0-19 cases</t>
  </si>
  <si>
    <t xml:space="preserve">Adolescent (15-19) cases</t>
  </si>
  <si>
    <t xml:space="preserve">Total - 7 registries</t>
  </si>
  <si>
    <t xml:space="preserve">Source: Maharashtra Fact Sheet 2021, page 3 - age-adjusted incidence rates (AAR) of childhood cancers per million. Values were read from the map graphic. Mumbai boys 0-14 AAR is partly overlapped by the map outline and was read as 107.1. Rates for registries with very few cases (Barshi rural: 4 boys, 4 girls) are statistically unstable.</t>
  </si>
  <si>
    <t xml:space="preserve">Table</t>
  </si>
  <si>
    <t xml:space="preserve">Rank / order</t>
  </si>
  <si>
    <t xml:space="preserve">Value (%)</t>
  </si>
  <si>
    <t xml:space="preserve">Note</t>
  </si>
  <si>
    <t xml:space="preserve">Five leading sites (share of all cancers)</t>
  </si>
  <si>
    <t xml:space="preserve">Tobacco-associated cancers - overall share</t>
  </si>
  <si>
    <t xml:space="preserve">All tobacco-associated sites</t>
  </si>
  <si>
    <t xml:space="preserve">Share of all cancers in Maharashtra PBCRs</t>
  </si>
  <si>
    <t xml:space="preserve">Tobacco-associated cancers - composition</t>
  </si>
  <si>
    <t xml:space="preserve">Others = lip, other oropharynx, hypopharynx, pharynx unspecified</t>
  </si>
  <si>
    <t xml:space="preserve">Check: composition sums (should be 100)</t>
  </si>
  <si>
    <t xml:space="preserve">Source: Maharashtra Fact Sheet 2021, section I.B (leading cancer sites) and the tobacco-use donut charts. Composition percentages are printed as whole numbers. Stage-at-diagnosis charts for Maharashtra are in sheet Clinical Stage.</t>
  </si>
  <si>
    <t xml:space="preserve">Males (projected cases)</t>
  </si>
  <si>
    <t xml:space="preserve">Females (projected cases)</t>
  </si>
  <si>
    <t xml:space="preserve">Total (M+F)</t>
  </si>
  <si>
    <t xml:space="preserve">Female share</t>
  </si>
  <si>
    <t xml:space="preserve">India total (NCRP projection)</t>
  </si>
  <si>
    <t xml:space="preserve">Maharashtra share of India</t>
  </si>
  <si>
    <t xml:space="preserve">Change 2020 to 2025</t>
  </si>
  <si>
    <t xml:space="preserve">CAGR 2020-2025</t>
  </si>
  <si>
    <t xml:space="preserve">Source: Maharashtra Fact Sheet 2021, section I.D - projected incidence of cancer cases using 2012-2016 incidence data as reference. The fact sheet also plots estimated age-specific incidence rates (all sites, 2020) for males and females; that chart carries no printed values, so it is described in Key Findings rather than tabulated. It shows rates near 0-10 per 100,000 below age 30 and rising steeply after 40; female rates exceed male rates between roughly age 35 and 65, and male rates overtake female rates after about age 65 (75+: roughly 630 male vs 450 female per 100,000, read off the chart).</t>
  </si>
  <si>
    <t xml:space="preserve">Section</t>
  </si>
  <si>
    <t xml:space="preserve">Indicator</t>
  </si>
  <si>
    <t xml:space="preserve">Total / overall</t>
  </si>
  <si>
    <t xml:space="preserve">Source in fact sheet</t>
  </si>
  <si>
    <t xml:space="preserve">A. Socio-demographic</t>
  </si>
  <si>
    <t xml:space="preserve">Population (Census 2011)</t>
  </si>
  <si>
    <t xml:space="preserve">persons</t>
  </si>
  <si>
    <t xml:space="preserve">Census 2011 [4]</t>
  </si>
  <si>
    <t xml:space="preserve">Gender ratio</t>
  </si>
  <si>
    <t xml:space="preserve">females per 1,000 males</t>
  </si>
  <si>
    <t xml:space="preserve">Literacy rate</t>
  </si>
  <si>
    <t xml:space="preserve">B. Health indicators</t>
  </si>
  <si>
    <t xml:space="preserve">Life expectancy (2016)</t>
  </si>
  <si>
    <t xml:space="preserve">years</t>
  </si>
  <si>
    <t xml:space="preserve">India State-Level Disease Burden Initiative [5]</t>
  </si>
  <si>
    <t xml:space="preserve">Proportion of total disease burden from NCDs</t>
  </si>
  <si>
    <t xml:space="preserve">ISLDBI [5]</t>
  </si>
  <si>
    <t xml:space="preserve">Neoplasms as share of NCDs' medically certified deaths</t>
  </si>
  <si>
    <t xml:space="preserve">ORGI MCCD 2018 [6]</t>
  </si>
  <si>
    <t xml:space="preserve">B(d). Cancer-related risk factors</t>
  </si>
  <si>
    <t xml:space="preserve">Current tobacco use (smoking and/or smokeless), adults over 15 years</t>
  </si>
  <si>
    <t xml:space="preserve">GATS-2 2016-17 [7]</t>
  </si>
  <si>
    <t xml:space="preserve">Alcohol use, age 15-49 years</t>
  </si>
  <si>
    <t xml:space="preserve">NFHS-5 2019-20 [8]</t>
  </si>
  <si>
    <t xml:space="preserve">Dark green leafy vegetables at least once a week, age 15-49</t>
  </si>
  <si>
    <t xml:space="preserve">NFHS-5 [8]</t>
  </si>
  <si>
    <t xml:space="preserve">Fruits at least once a week, age 15-49</t>
  </si>
  <si>
    <t xml:space="preserve">Households using clean fuel for cooking</t>
  </si>
  <si>
    <t xml:space="preserve">Households reporting exposure to second-hand smoke</t>
  </si>
  <si>
    <t xml:space="preserve">Overweight / obesity, age 15-49</t>
  </si>
  <si>
    <t xml:space="preserve">B(e). Other NCDs</t>
  </si>
  <si>
    <t xml:space="preserve">Hypertension, age 15-49</t>
  </si>
  <si>
    <t xml:space="preserve">Raised random blood glucose level, age 15-49</t>
  </si>
  <si>
    <t xml:space="preserve">Gender ratio recomputed (females per 1,000 males) from population row</t>
  </si>
  <si>
    <t xml:space="preserve">Source: Maharashtra Fact Sheet 2021, section II (cancer-related information). Blank = not reported for that group. Numbers in square brackets are the fact-sheet reference numbers (see Source References).</t>
  </si>
  <si>
    <t xml:space="preserve">Category</t>
  </si>
  <si>
    <t xml:space="preserve">Item</t>
  </si>
  <si>
    <t xml:space="preserve">Count / detail</t>
  </si>
  <si>
    <t xml:space="preserve">Classification / note</t>
  </si>
  <si>
    <t xml:space="preserve">Government health facilities</t>
  </si>
  <si>
    <t xml:space="preserve">Sub-centres + Health and Wellness Centres - Sub Centres (HWC-SCs)</t>
  </si>
  <si>
    <t xml:space="preserve">NFHS-4 / Rural Health Statistics [9]</t>
  </si>
  <si>
    <t xml:space="preserve">Primary Health Centres + Health and Wellness Centres - Primary Health Centres (HWC-PHCs)</t>
  </si>
  <si>
    <t xml:space="preserve">[9]</t>
  </si>
  <si>
    <t xml:space="preserve">Community Health Centres</t>
  </si>
  <si>
    <t xml:space="preserve">District hospitals</t>
  </si>
  <si>
    <t xml:space="preserve">Medical education</t>
  </si>
  <si>
    <t xml:space="preserve">Number of medical colleges</t>
  </si>
  <si>
    <t xml:space="preserve">Rural Health Statistics 2018-19 [10]</t>
  </si>
  <si>
    <t xml:space="preserve">Regional / tertiary cancer care centres</t>
  </si>
  <si>
    <t xml:space="preserve">Tata Memorial Hospital, Mumbai</t>
  </si>
  <si>
    <t xml:space="preserve">RCC</t>
  </si>
  <si>
    <t xml:space="preserve">RCC = Regional Cancer Centre</t>
  </si>
  <si>
    <t xml:space="preserve">NMC / PIB [11],[12]</t>
  </si>
  <si>
    <t xml:space="preserve">Rashtrasant Tukdoji Regional Cancer Hospital &amp; Research Centre, Nagpur</t>
  </si>
  <si>
    <t xml:space="preserve">RCC / TCCC</t>
  </si>
  <si>
    <t xml:space="preserve">RCC = Regional Cancer Centre; TCCC = Tertiary Cancer Care Centre</t>
  </si>
  <si>
    <t xml:space="preserve">[11],[12]</t>
  </si>
  <si>
    <t xml:space="preserve">Government Medical College, Aurangabad</t>
  </si>
  <si>
    <t xml:space="preserve">SCI</t>
  </si>
  <si>
    <t xml:space="preserve">SCI = State Cancer Institute</t>
  </si>
  <si>
    <t xml:space="preserve">Vivekanand Foundation &amp; Research Centre, Latur</t>
  </si>
  <si>
    <t xml:space="preserve">TCCC</t>
  </si>
  <si>
    <t xml:space="preserve">TCCC = Tertiary Cancer Care Centre</t>
  </si>
  <si>
    <t xml:space="preserve">State government health schemes</t>
  </si>
  <si>
    <t xml:space="preserve">Integrated Mahatma Jyotiba Phule Jan Arogya Yojana (MJPJAY) and Ayushman Bharat-Pradhan Matri Jan Arogya Yojana (AB-PMJAY)</t>
  </si>
  <si>
    <t xml:space="preserve">Covers medical oncology, paediatric cancer, radiation and surgical oncology</t>
  </si>
  <si>
    <t xml:space="preserve">National Cancer Control Programme [13]</t>
  </si>
  <si>
    <t xml:space="preserve">Hospital-based cancer registries</t>
  </si>
  <si>
    <t xml:space="preserve">Kokilaben Dhirubhai Ambani Hospital and Research Institute, Mumbai</t>
  </si>
  <si>
    <t xml:space="preserve">HBCR</t>
  </si>
  <si>
    <t xml:space="preserve">5 hospitals in total</t>
  </si>
  <si>
    <t xml:space="preserve">Fact sheet I.A</t>
  </si>
  <si>
    <t xml:space="preserve">Kolhapur Cancer Centre, Kolhapur</t>
  </si>
  <si>
    <t xml:space="preserve">Pravara Institute of Medical Science, Loni</t>
  </si>
  <si>
    <t xml:space="preserve">Rashtra Sant Tukdoji Regional Cancer Hospital and Research Centre, Nagpur</t>
  </si>
  <si>
    <t xml:space="preserve">Existing state data are NCRP estimates</t>
  </si>
  <si>
    <t xml:space="preserve">Sums of the state columns for 2020 and 2022 equal the national NCRP estimates (1,392,179 and 1,461,427), and Maharashtra 2020 equals the NCRP Maharashtra projection. The "Observed" labels in the existing State-wise Incidence sheet are therefore best read as "NCRP-estimated". The 2026/2030/2045 columns come from the Kumar et al. 2026 model.</t>
  </si>
  <si>
    <t xml:space="preserve">Estimates assume constant incidence rates</t>
  </si>
  <si>
    <t xml:space="preserve">Both NCRP papers apply 2012-2016 age-specific rates unchanged to later populations, so projected growth reflects population growth and ageing only. The Kumar model instead extrapolates a 2019-2022 trend with healthcare moderators, hence different growth paths (e.g. 2026 sum of states 1.60 million vs IJMR 2025 projection 1.57 million).</t>
  </si>
  <si>
    <t xml:space="preserve">Registry coverage is partial</t>
  </si>
  <si>
    <t xml:space="preserve">PBCRs cover about 10% of India's population (NCRP coverage 16.4%); several populous states (e.g. Uttar Pradesh, Bihar) have no registry and use pooled "rest of India" rates (see column J of State-wise Incidence).</t>
  </si>
  <si>
    <t xml:space="preserve">Figure-derived values</t>
  </si>
  <si>
    <t xml:space="preserve">Values read from graphics rather than printed tables: JCO Fig. 2 (tobacco shares and rates), JCO Fig. 3 (stage), JCO Fig. 4 (APC), the Maharashtra childhood-cancer map and stage charts, and the IJMR population pyramids. Labels and values were paired from the page images and cross-checked against figures quoted in the paper text (see Cross-Validation).</t>
  </si>
  <si>
    <t xml:space="preserve">Inferred series assignments</t>
  </si>
  <si>
    <t xml:space="preserve">JCO Fig. 3 (national stage): series were assigned using percentages quoted in the text (e.g. breast loco-regional 57.0%; lung distant 44.0%/47.6%; stomach localised &lt; one fifth). IJMR population pyramids: first block = 2022, second = 2011, inferred from the 8.6% to 9.7% change in the 60+ share.</t>
  </si>
  <si>
    <t xml:space="preserve">Rate-pair order in JCO Fig. 2</t>
  </si>
  <si>
    <t xml:space="preserve">The figure prints (crude, age-adjusted) on the male side and (age-adjusted, crude) on the female side. They are normalised in the workbook and verified by recomputing the printed shares.</t>
  </si>
  <si>
    <t xml:space="preserve">Source discrepancy: childhood leukaemia</t>
  </si>
  <si>
    <t xml:space="preserve">IJMR abstract gives lymphoid leukaemia as 29.2% (boys) and 24.2% (girls); Table II and the results text give 29.3% and 24.3%. Table II values are used.</t>
  </si>
  <si>
    <t xml:space="preserve">Registry names harmonised</t>
  </si>
  <si>
    <t xml:space="preserve">Names are aligned across sheets: "Thi'puram" is shown as Thiruvananthapuram; "Barshi rural" as Barshi Rural; Osmanabad and Beed as one registry. District rows (Imphal West, Aizawl, Papumpare, East Khasi Hills) are sub-registry rows of Manipur, Mizoram, West Arunachal and Meghalaya and should not be added to their parent registries.</t>
  </si>
  <si>
    <t xml:space="preserve">Reference periods differ by registry</t>
  </si>
  <si>
    <t xml:space="preserve">JCO Table 1 pools 2012-2016, but some registries have shorter periods (e.g. Delhi 2012-14; Hyderabad 2014-16; Kolkata, Mumbai, Bhopal, Osmanabad and Beed 2012-15). The period is shown in column E of PBCR Incidence Table.</t>
  </si>
  <si>
    <t xml:space="preserve">Sex-specific sites</t>
  </si>
  <si>
    <t xml:space="preserve">Cells are blank (not zero) where a site does not apply to a sex (e.g. prostate in females). Breast cancer in males is a real (small) entry: 5,649 cases in 2022.</t>
  </si>
  <si>
    <t xml:space="preserve">Cumulative risk storage</t>
  </si>
  <si>
    <t xml:space="preserve">Cumulative risk is printed as "1 in N"; the workbook stores N as a number so it can be sorted and filtered. Smaller N means higher risk.</t>
  </si>
  <si>
    <t xml:space="preserve">Maharashtra childhood data</t>
  </si>
  <si>
    <t xml:space="preserve">Mumbai boys 0-14 AAR (107.1) is partly overlapped by the map outline in the PDF. Barshi rural has only 4 boys and 4 girls per year, so its rates are unstable.</t>
  </si>
  <si>
    <t xml:space="preserve">Colour legend</t>
  </si>
  <si>
    <t xml:space="preserve">Blue header = transcribed source data (matches the original workbook). Green header = formula-derived column. Grey rows = check rows. Light-grey rows = totals.</t>
  </si>
  <si>
    <t xml:space="preserve">Not tabulated (chart only)</t>
  </si>
  <si>
    <t xml:space="preserve">The Maharashtra age-specific incidence curve (2020) and IJMR Fig. 2 (age-wise cases and rates) are plotted without printed values; their key readings are in Key Findings. The JCO Data Supplement (referenced in the paper) was not part of the uploaded PDFs.</t>
  </si>
  <si>
    <t xml:space="preserve">Page references</t>
  </si>
  <si>
    <t xml:space="preserve">Page numbers in Key Findings are the printed journal page numbers (IJMR 598-607; JCO 1063-1075) or fact-sheet page numbers.</t>
  </si>
  <si>
    <t xml:space="preserve">Field</t>
  </si>
  <si>
    <t xml:space="preserve">Extracted data</t>
  </si>
  <si>
    <t xml:space="preserve">Article title</t>
  </si>
  <si>
    <t xml:space="preserve">Authors</t>
  </si>
  <si>
    <t xml:space="preserve">Dileep Kumar; Navin Upadhyay; Himanshu Pandey</t>
  </si>
  <si>
    <t xml:space="preserve">Journal</t>
  </si>
  <si>
    <t xml:space="preserve">Citation</t>
  </si>
  <si>
    <t xml:space="preserve">Kumar D, Upadhyay N, Pandey H. Int J Community Med Public Health. 2026;13(4):1867-1873.</t>
  </si>
  <si>
    <t xml:space="preserve">Publication details</t>
  </si>
  <si>
    <t xml:space="preserve">April 2026; Volume 13; Issue 4; pages 1867–1873</t>
  </si>
  <si>
    <t xml:space="preserve">DOI</t>
  </si>
  <si>
    <t xml:space="preserve">Article type</t>
  </si>
  <si>
    <t xml:space="preserve">Original Research Article</t>
  </si>
  <si>
    <t xml:space="preserve">Department / affiliation 1</t>
  </si>
  <si>
    <t xml:space="preserve">Department of Obstetrics and Gynecology, BRD Medical College, Gorakhpur, Uttar Pradesh, India</t>
  </si>
  <si>
    <t xml:space="preserve">Department / affiliation 2</t>
  </si>
  <si>
    <t xml:space="preserve">Department of Mathematics and Statistics, Deen Dayal Upadhyaya Gorakhpur University, Gorakhpur, Uttar Pradesh, India</t>
  </si>
  <si>
    <t xml:space="preserve">Received</t>
  </si>
  <si>
    <t xml:space="preserve">11 December 2025</t>
  </si>
  <si>
    <t xml:space="preserve">Revised</t>
  </si>
  <si>
    <t xml:space="preserve">17 March 2026</t>
  </si>
  <si>
    <t xml:space="preserve">Accepted</t>
  </si>
  <si>
    <t xml:space="preserve">20 March 2026</t>
  </si>
  <si>
    <t xml:space="preserve">Corresponding author</t>
  </si>
  <si>
    <t xml:space="preserve">Navin Upadhyay</t>
  </si>
  <si>
    <t xml:space="preserve">Corresponding author email</t>
  </si>
  <si>
    <t xml:space="preserve">navinupadhyayrs@gmail.com</t>
  </si>
  <si>
    <t xml:space="preserve">Keywords</t>
  </si>
  <si>
    <t xml:space="preserve">Cancer; Moderated exponential; Regression</t>
  </si>
  <si>
    <t xml:space="preserve">Funding</t>
  </si>
  <si>
    <t xml:space="preserve">No funding sources</t>
  </si>
  <si>
    <t xml:space="preserve">Conflict of interest</t>
  </si>
  <si>
    <t xml:space="preserve">None declared</t>
  </si>
  <si>
    <t xml:space="preserve">Ethical approval</t>
  </si>
  <si>
    <t xml:space="preserve">The study was approved by the Institutional Ethics Committee</t>
  </si>
  <si>
    <t xml:space="preserve">License</t>
  </si>
  <si>
    <t xml:space="preserve">Open-access Creative Commons Attribution Non-Commercial License; original work must be properly cited.</t>
  </si>
  <si>
    <t xml:space="preserve">Source data</t>
  </si>
  <si>
    <t xml:space="preserve">National Cancer Registry Programme (ICMR-NCRP), cancer incidence data for 2019–2022</t>
  </si>
  <si>
    <t xml:space="preserve">Extracted content</t>
  </si>
  <si>
    <t xml:space="preserve">Background</t>
  </si>
  <si>
    <t xml:space="preserve">Cancer incidence varies substantially across Indian states and union territories. Accurate projections support health planning, resource allocation, and stronger health systems. Conventional forecasts often rely on historical trends and may ignore regional differences in healthcare capacity that affect detection and reporting.</t>
  </si>
  <si>
    <t xml:space="preserve">Aim / objective</t>
  </si>
  <si>
    <t xml:space="preserve">Forecast state-wise cancer incidence in India using a moderated exponential regression model that combines historical incidence trends with healthcare-system indicators.</t>
  </si>
  <si>
    <t xml:space="preserve">Methods overview</t>
  </si>
  <si>
    <t xml:space="preserve">A moderated exponential regression model was developed using ICMR-NCRP state-wise incidence data from 2019–2022. Seven healthcare moderators were considered: cancer hospitals, oncologist availability, screening coverage/early detection, CHC/PHC density, health infrastructure index, per-capita health expenditure, and hospital beds per 1,000 population.</t>
  </si>
  <si>
    <t xml:space="preserve">Short-term scenario</t>
  </si>
  <si>
    <t xml:space="preserve">2026; time value t=7; moderator D only (CHC/PHC density).</t>
  </si>
  <si>
    <t xml:space="preserve">Medium-term scenario</t>
  </si>
  <si>
    <t xml:space="preserve">2030; time value t=11; moderators A–D: hospital infrastructure, oncology workforce, screening efficiency, and primary-care accessibility.</t>
  </si>
  <si>
    <t xml:space="preserve">Long-term scenario</t>
  </si>
  <si>
    <t xml:space="preserve">2045; time value t=26; all seven moderators A–G, covering diagnostic capacity, treatment availability, healthcare financing, and long-range infrastructure expansion.</t>
  </si>
  <si>
    <t xml:space="preserve">Results</t>
  </si>
  <si>
    <t xml:space="preserve">The paper reports substantial inter-state variation. Stronger health systems were associated with slower increases in the moderated projections, while weaker infrastructure was associated with more rapid growth. The authors report improved model fit and predictive accuracy compared with conventional exponential models.</t>
  </si>
  <si>
    <t xml:space="preserve">Conclusion</t>
  </si>
  <si>
    <t xml:space="preserve">Including healthcare-system factors can improve the relevance of cancer-incidence projections for policy planning and targeted health-system strengthening.</t>
  </si>
  <si>
    <t xml:space="preserve">Main interpretation</t>
  </si>
  <si>
    <t xml:space="preserve">The paper argues that healthcare infrastructure, workforce, screening, and expenditure affect observed incidence through detection/reporting as well as prevention and treatment.</t>
  </si>
  <si>
    <t xml:space="preserve">Reported broad trend</t>
  </si>
  <si>
    <t xml:space="preserve">Most regions showed annual growth of approximately 1.5%–3.5% over the 2019–2022 period, according to the article.</t>
  </si>
  <si>
    <t xml:space="preserve">High-burden states highlighted</t>
  </si>
  <si>
    <t xml:space="preserve">Uttar Pradesh, Maharashtra, West Bengal, Tamil Nadu, Karnataka, and Rajasthan.</t>
  </si>
  <si>
    <t xml:space="preserve">Smaller regions highlighted</t>
  </si>
  <si>
    <t xml:space="preserve">Ladakh, Sikkim, Daman, and Lakshadweep had lower absolute case counts; the article notes high relative growth in some northeastern states including Manipur, Nagaland, and Mizoram.</t>
  </si>
  <si>
    <t xml:space="preserve">Model estimation</t>
  </si>
  <si>
    <t xml:space="preserve">Ordinary least squares (OLS) regression with HC3 robust standard errors; predictor variables standardized before estimation; log-scale predictions exponentiated to return to incidence units.</t>
  </si>
  <si>
    <t xml:space="preserve">Data structure</t>
  </si>
  <si>
    <t xml:space="preserve">State-time panel; t=0 for 2019, t=1 for 2020, t=2 for 2021, and t=3 for 2022; four annual observations per state/UT by design.</t>
  </si>
  <si>
    <t xml:space="preserve">Dependent variable</t>
  </si>
  <si>
    <t xml:space="preserve">Natural logarithm of annual cancer incidence, ln(y).</t>
  </si>
  <si>
    <t xml:space="preserve">Baseline trend coefficient</t>
  </si>
  <si>
    <t xml:space="preserve">β1: overall underlying annual growth rate for the reference group.</t>
  </si>
  <si>
    <t xml:space="preserve">Moderator coefficient</t>
  </si>
  <si>
    <t xml:space="preserve">β2k: initial baseline difference in log incidence for moderator group k relative to the reference group at t=0.</t>
  </si>
  <si>
    <t xml:space="preserve">Interaction coefficient</t>
  </si>
  <si>
    <t xml:space="preserve">β3k: change in growth rate for moderator group k compared with the baseline trend; a positive value indicates faster growth than β1, while the discussion notes a negative interaction can indicate slower growth with higher moderator levels.</t>
  </si>
  <si>
    <t xml:space="preserve">Limitations</t>
  </si>
  <si>
    <t xml:space="preserve">Secondary NCRP data for 2019–2022 may not fully capture underreporting or registry-coverage differences; moderator indicators are assumed relatively stable; selected indicators omit lifestyle, environmental, demographic, and socioeconomic factors; state-level aggregation may hide urban–rural differences. Projections should be treated as indicative estimates, not precise forecasts.</t>
  </si>
  <si>
    <t xml:space="preserve">Suggested future work</t>
  </si>
  <si>
    <t xml:space="preserve">Use longer time series and additional epidemiological and socioeconomic variables; validate for heteroskedasticity, overdispersion, and model misspecification; consider negative-binomial, hierarchical, Bayesian, or alternative exponential-family models where appropriate.</t>
  </si>
  <si>
    <t xml:space="preserve">Policy implications</t>
  </si>
  <si>
    <t xml:space="preserve">Strengthen early detection, diagnostic capacity, oncology workforce, screening, tertiary care, timely referral, treatment capacity, and equitable distribution of health infrastructure.</t>
  </si>
  <si>
    <t xml:space="preserve">Code</t>
  </si>
  <si>
    <t xml:space="preserve">Healthcare moderator</t>
  </si>
  <si>
    <t xml:space="preserve">Description / wording in article</t>
  </si>
  <si>
    <t xml:space="preserve">A</t>
  </si>
  <si>
    <t xml:space="preserve">Cancer hospitals</t>
  </si>
  <si>
    <t xml:space="preserve">Number of cancer hospitals / hospital infrastructure</t>
  </si>
  <si>
    <t xml:space="preserve">B</t>
  </si>
  <si>
    <t xml:space="preserve">Oncologists</t>
  </si>
  <si>
    <t xml:space="preserve">Availability or number of oncologists / oncology workforce</t>
  </si>
  <si>
    <t xml:space="preserve">C</t>
  </si>
  <si>
    <t xml:space="preserve">Screening / early detection</t>
  </si>
  <si>
    <t xml:space="preserve">Early detection system and screening efficiency/coverage</t>
  </si>
  <si>
    <t xml:space="preserve">D</t>
  </si>
  <si>
    <t xml:space="preserve">CHC/PHC density</t>
  </si>
  <si>
    <t xml:space="preserve">Primary healthcare access; community health centre / primary health centre density</t>
  </si>
  <si>
    <t xml:space="preserve">E</t>
  </si>
  <si>
    <t xml:space="preserve">Health infrastructure index</t>
  </si>
  <si>
    <t xml:space="preserve">Overall health infrastructure strength</t>
  </si>
  <si>
    <t xml:space="preserve">F</t>
  </si>
  <si>
    <t xml:space="preserve">Per-capita health expenditure</t>
  </si>
  <si>
    <t xml:space="preserve">Financial strength of the health system / health expenditure per capita</t>
  </si>
  <si>
    <t xml:space="preserve">G</t>
  </si>
  <si>
    <t xml:space="preserve">Hospital beds</t>
  </si>
  <si>
    <t xml:space="preserve">Hospital-bed availability; hospital beds per 1,000 population</t>
  </si>
  <si>
    <t xml:space="preserve">Formula / explanation</t>
  </si>
  <si>
    <t xml:space="preserve">Moderated exponential regression</t>
  </si>
  <si>
    <t xml:space="preserve">ln(y_it) = α + β1 t + Σ_k [β2k X_ik + β3k (t X_ik)] + ε_it. The equation is transcribed in normalized text form from the PDF; the printed equation formatting is imperfect.</t>
  </si>
  <si>
    <t xml:space="preserve">Short-term 2026</t>
  </si>
  <si>
    <t xml:space="preserve">ln(ŷ) = α + β1 t + β2 D + β3 (tD); t=7; D = CHC/PHC density.</t>
  </si>
  <si>
    <t xml:space="preserve">Medium-term 2030</t>
  </si>
  <si>
    <t xml:space="preserve">t=11; moderators A, B, C, D.</t>
  </si>
  <si>
    <t xml:space="preserve">Long-term 2045</t>
  </si>
  <si>
    <t xml:space="preserve">t=26; moderators A, B, C, D, E, F, G.</t>
  </si>
  <si>
    <t xml:space="preserve">Back-transformation</t>
  </si>
  <si>
    <t xml:space="preserve">ŷ = e^(ln ŷ), converting predictions from log scale back to incidence units.</t>
  </si>
  <si>
    <t xml:space="preserve">Estimation method</t>
  </si>
  <si>
    <t xml:space="preserve">Ordinary least squares (OLS) regression.</t>
  </si>
  <si>
    <t xml:space="preserve">Robust inference</t>
  </si>
  <si>
    <t xml:space="preserve">HC3 robust standard errors to address potential heteroscedasticity.</t>
  </si>
  <si>
    <t xml:space="preserve">Predictor preprocessing</t>
  </si>
  <si>
    <t xml:space="preserve">All predictor variables standardized before estimation.</t>
  </si>
  <si>
    <t xml:space="preserve">Model design note</t>
  </si>
  <si>
    <t xml:space="preserve">The methods describe variables as collected (or designed to be collected) for each state/UT. The workbook preserves this wording rather than assuming all moderator measurements were directly observed.</t>
  </si>
  <si>
    <t xml:space="preserve">No.</t>
  </si>
  <si>
    <t xml:space="preserve">Reference (transcribed from article)</t>
  </si>
  <si>
    <t xml:space="preserve">Carmer SG. Computational aspects of exponential regression. Commun Stat Theory Methods. 1974;3(3):229-45.</t>
  </si>
  <si>
    <t xml:space="preserve">Breslow NE, Day NE, Heseltine E. Statistical methods in cancer research: Volume I—the analysis of case-control studies. IARC Scientific Publications No. 32. International Agency for Research on Cancer. 1980.</t>
  </si>
  <si>
    <t xml:space="preserve">Lee ET, Wang J. Statistical methods for survival data analysis. 3rd ed. Wiley; 2003.</t>
  </si>
  <si>
    <t xml:space="preserve">Abedi H, Sadeghi M, Boroumand MA, Nezami N. Application of survival models in oncology research: a comparative study. Cancer Epidemiol. 2019;60:80-7.</t>
  </si>
  <si>
    <t xml:space="preserve">Chhatwal J, Alagoz O, Burnside ES. Logistic regression and decision-analytic modelling of breast cancer diagnosis. Med Decision Making. 2009;29(4):414-26.</t>
  </si>
  <si>
    <t xml:space="preserve">Falgreen S, Dybkær K, Young KH, Xu-Monette ZY, El-Galaly TC, Laursen MB, et al. Predicting response to multidrug regimens in cancer patients using cell line experiments and regularised regression models. BMC Cancer. 2015 Apr 8;15:235.</t>
  </si>
  <si>
    <t xml:space="preserve">Prataviera F, Rotnitzky A, Robins J. Exponentiated regression models for epidemiological applications. Biom J. 2019;61(2):302-20.</t>
  </si>
  <si>
    <t xml:space="preserve">Ramires TG, Ortega EMM, Cordeiro GM. Power exponential regression models: Properties and applications. Commun Stat Theory Methods. 2018;47(6):1344-62.</t>
  </si>
  <si>
    <t xml:space="preserve">Tanaka H, Ishibuchi H, Yoshikawa M. Exponential possibility regression and its applications. Fuzzy Sets Syst. 1995;69(1):51-60.</t>
  </si>
  <si>
    <t xml:space="preserve">Suleiman M, Ahmed Z, Rahman A. Simulation-assisted nonlinear models for cancer data forecasting. Stat Modell. 2025;25(1):90-112.</t>
  </si>
  <si>
    <t xml:space="preserve">Abaoud AA, Almuqrin A. Heavy-tailed regression models for biomedical data: simulation-driven evaluation and applications. J Appl Stat. 2024;51(3):512-30.</t>
  </si>
  <si>
    <t xml:space="preserve">Almuqrin A. Simulation-based nonlinear regression methods for medical prediction models. Commun Stat Simulat Comput. 2024;53(1):145-62.</t>
  </si>
  <si>
    <t xml:space="preserve">Source paper</t>
  </si>
  <si>
    <t xml:space="preserve">Ref no.</t>
  </si>
  <si>
    <t xml:space="preserve">Reference (as printed in the source)</t>
  </si>
  <si>
    <t xml:space="preserve">Sung H, Ferlay J, Siegel RL, Laversanne M, Soerjomataram I, Jemal A, et al. Global cancer statistics 2020: GLOBOCAN estimates of incidence and mortality worldwide for 36 cancers in 185 countries. CA Cancer J Clin 2021; 71 : 209-49.</t>
  </si>
  <si>
    <t xml:space="preserve">Ferlay J, Ervik M, Lam F, Colombet M, Mery L, Piñeros M, et al. Global cancer observatory: Cancer today. Lyon, France: International Agency for Research on Cancer; 2020. Available from: https://gco.iarc.fr/today, accessed on August 5, 2022.</t>
  </si>
  <si>
    <t xml:space="preserve">Siegel RL, Miller KD, Fuchs HE, Jemal A. Cancer statistics, 2022. CA Cancer J Clin 2022; 72 : 7-33.</t>
  </si>
  <si>
    <t xml:space="preserve">Bray F, Colombet M, Mery L, Piñeros M, Znaor A, Zanetti R, et al., editors. Cancer incidence in five continents volume XI. Lyon: International Agency for Research on Cancer Scientific Publications; 2017.</t>
  </si>
  <si>
    <t xml:space="preserve">Mathur P, Sathishkumar K, Chaturvedi M, Das P, Sudarshan KL, Santhappan S, et al. Cancer statistics, 2020: Report from National Cancer Registry Programme, India. JCO Glob Oncol 2020; 6 : 1063-75.</t>
  </si>
  <si>
    <t xml:space="preserve">Bray F, Parkin DM. Evaluation of data quality in the cancer registry: Principles and methods. Part I: Comparability, validity and timeliness. Eur J Cancer 2009; 45 : 747-55.</t>
  </si>
  <si>
    <t xml:space="preserve">Bray F, Ferlay J, Soerjomataram I, Siegel RL, Torre LA, Jemal A. Global cancer statistics 2018: GLOBOCAN estimates of incidence and mortality worldwide for 36 cancers in 185 countries. CA Cancer J Clin 2018; 68 : 394-424.</t>
  </si>
  <si>
    <t xml:space="preserve">ICMR-National Centre for Disease Informatics and Research (NCDIR). Report of National Cancer Registry Programme 2020. Bengaluru (India). Available from: https://ncdirindia.org/All_Reports/PBCR_Annexures/Default.aspx, accessed on June 20, 2022.</t>
  </si>
  <si>
    <t xml:space="preserve">World Health Organization (WHO). International statistical classification of diseases and related health problems. Geneva (Switzerland): WHO; 1994.</t>
  </si>
  <si>
    <t xml:space="preserve">Office of the Registrar General &amp; Census Commissioner, India. Population Census 2011. Table C-14: Population in Five-Year Age Group by Residence and Sex. New Delhi (India); 2011. Available from: http://www.censusindia.gov.in, accessed on May 20, 2022.</t>
  </si>
  <si>
    <t xml:space="preserve">Segi M. Cancer mortality for selected sites in 24 countries (1950-1957). Sendai, Japan: The Department of Public Health, Tohoku University School of Medicine; 1960.</t>
  </si>
  <si>
    <t xml:space="preserve">Swaminathan R, Shanta V on Behalf of the TNCRP Study Group. Cancer Incidence and Mortality (Year 2016), Incidence Trend (2012-2016) and Estimates (2017-2020) for Tamil Nadu State. Tamil Nadu Cancer Registry Project, Chennai (India): Cancer Institute (W.I.A.); 2020.</t>
  </si>
  <si>
    <t xml:space="preserve">Takiar R, Shobana B. Cancer incidence rates and the problem of denominators - A new approach in Indian cancer registries. Asian Pac J Cancer Prev 2009; 10 : 123-6.</t>
  </si>
  <si>
    <t xml:space="preserve">Murthy NS, Juneja A, Sehgal A, Prabhakar AK, Luthra UK. Cancer projection by the turn of century-Indian science. Indian J Cancer 1990; 27 : 74-82.</t>
  </si>
  <si>
    <t xml:space="preserve">Murthy NS, Chaudhry K, Rath GK. Burden of cancer and projections for 2016, Indian scenario: Gaps in the availability of radiotherapy treatment facilities. Asian Pac J Cancer Prev 2008; 9 : 671-7.</t>
  </si>
  <si>
    <t xml:space="preserve">Swaminathan R, Shanta V, Ferlay J, Balasubramanian S, Bray F, Sankaranarayanan R. Trends in cancer incidence in Chennai city (1982-2006) and statewide predictions of future burden in Tamil Nadu (2007-16). Natl Med J India 2011; 24 : 72-7.</t>
  </si>
  <si>
    <t xml:space="preserve">Takiar R, Nadayil D, Nandakumar A. Projections of number of cancer cases in India (2010-2020) by cancer groups. Asian Pac J Cancer Prev 2010; 11 : 1045-9.</t>
  </si>
  <si>
    <t xml:space="preserve">D'Souza NDR, Murthy NS, Aras RY. Projection of cancer incident cases for India till 2026. Asian Pac J Cancer Prev 2013; 14 : 4379-86.</t>
  </si>
  <si>
    <t xml:space="preserve">Ferlay J, Colombet M, Soerjomataram I, Mathers C, Parkin DM, Piñeros M, et al. Estimating the global cancer incidence and mortality in 2018: GLOBOCAN sources and methods. Int J Cancer 2018; 144 : 1941-53.</t>
  </si>
  <si>
    <t xml:space="preserve">Xia C, Dong X, Li H, Cao M, Sun D, He S, et al. Cancer statistics in China and United States, 2022: Profiles, trends, and determinants. Chin Med J (Engl) 2022; 135 : 584-90.</t>
  </si>
  <si>
    <t xml:space="preserve">Ranganathan P, Sengar M, Chinnaswamy G, Agrawal G, Arumugham R, Bhatt R, et al. Impact of COVID-19 on cancer care in India: A cohort study. Lancet Oncol 2021; 22 : 970-6.</t>
  </si>
  <si>
    <t xml:space="preserve">Bray F, Znaor A, Cueva P, Korir A, Swaminathan R, Ullrich A, et al. Planning and developing population-based cancer registration in low- or middle-income settings. Lyon (France): International Agency for Research on Cancer; 2014.</t>
  </si>
  <si>
    <t xml:space="preserve">Smith RD, Mallath MK. History of the growing burden of cancer in India: From antiquity to the 21st century. J Glob Oncol 2019; 5 : 1-15.</t>
  </si>
  <si>
    <t xml:space="preserve">National Centre for Disease Informatics and Research. Time trends in cancer incidence rates 1982-2010. Bengaluru (India): National Cancer Registry Programme, ICMR-NCDIR; 2013. Available from: https://www.ncdirindia.org/All_Reports/TREND_REPORT_1982_2010/, accessed on June 20, 2022.</t>
  </si>
  <si>
    <t xml:space="preserve">Nath A, Sathishkumar K, Das P, Sudarshan KL, Mathur P. A clinicoepidemiological profile of lung cancers in India - Results from the National Cancer Registry Programme. Indian J Med Res 2022; 155 : 264-72.</t>
  </si>
  <si>
    <t xml:space="preserve">Sathishkumar K, Vinodh N, Badwe RA, Deo SVS, Manoharan N, Malik R, et al. Trends in breast and cervical cancer in India under National Cancer Registry Programme: An age-period-cohort analysis. Cancer Epidemiol 2021; 74 : 101982.</t>
  </si>
  <si>
    <t xml:space="preserve">India State-Level Disease Burden Initiative Cancer Collaborators. The burden of cancers and their variations across the states of India: The global burden of disease study 1990-2016. Lancet Oncol 2018; 19 : 1289-306.</t>
  </si>
  <si>
    <t xml:space="preserve">Swaminathan R, Sankaranarayanan R. Under-diagnosis and under-ascertainment of cases may be the reasons for low childhood cancer incidence in rural India. Cancer Epidemiol 2010; 34 : 107-8.</t>
  </si>
  <si>
    <t xml:space="preserve">Arora RS. Why is the incidence of childhood cancer lower in rural India? Cancer Epidemiol 2010; 34 : 105-6.</t>
  </si>
  <si>
    <t xml:space="preserve">Mathur P, Nath A, Sathish Kumar K. Adolescent and young adult cancers in India-Findings from the National Cancer Registry Programme. Cancer Epidemiol 2022; 78 : 102124.</t>
  </si>
  <si>
    <t xml:space="preserve">Kulothungan V, Sathishkumar K, Leburu S, Ramamoorthy T, Stephen S, Basavarajappa D, et al. Burden of cancers in India - Estimates of cancer crude incidence, YLLs, YLDs and DALYs for 2021 and 2025 based on National Cancer Registry Program. BMC Cancer 2022; 22 : 527.</t>
  </si>
  <si>
    <t xml:space="preserve">WHO: World Health Statistics 2019: Monitoring Health for the SDGs. Geneva, Switzerland, World Health Organization, 2018</t>
  </si>
  <si>
    <t xml:space="preserve">Parkin DM: The evolution of the population-based cancer registry. Nat Rev Cancer 6:603-612, 2006</t>
  </si>
  <si>
    <t xml:space="preserve">Nandakumar A, Gupta PC, Gangadharan P, et al: Geographic pathology revisited: Development of an atlas of cancer in India. Int J Cancer 116:740-754, 2005</t>
  </si>
  <si>
    <t xml:space="preserve">Swaminathan R, Selvakumaran R, Esmy PO, et al: Cancer pattern and survival in a rural district in South India. Cancer Epidemiol 33:325-331, 2009</t>
  </si>
  <si>
    <t xml:space="preserve">Jemal A, Ward EM, Johnson CJ, et al: Annual report to the nation on the status of cancer, 1975-2014, featuring survival. J Natl Cancer Inst 109:djx030, 2017</t>
  </si>
  <si>
    <t xml:space="preserve">de Camargo B, de Oliveira Santos M, Rebelo MS, et al: Cancer incidence among children and adolescents in Brazil: First report of 14 population-based cancer registries. Int J Cancer 126:715-720, 2010</t>
  </si>
  <si>
    <t xml:space="preserve">Pongnikorn D, Daoprasert K, Waisri N, et al: Cancer incidence in northern Thailand: Results from six population-based cancer registries 1993-2012. Int J Cancer 142:1767-1775, 2018</t>
  </si>
  <si>
    <t xml:space="preserve">National Centre for Disease Informatics and Research: Consolidated Report of Population Based Cancer Registries, 2006-2008, 2009-2011, 2012-2014 Bengaluru, India, National Cancer Registry Programme (NCRP-ICMR) https://ncdirindia.org/Reports.aspx (8a: Consolidated Report of Hospital Based Cancer Registries, 2004-2006, 2007-2011, 2012-2014)</t>
  </si>
  <si>
    <t xml:space="preserve">National Centre for Disease Informatics and Research: Time trends in cancer incidence rates, 1982-2010, Bangalore: National Cancer Registry Programme (NCRP-ICMR), 2013. https://www.ncdirindia.org/All_Reports/TREND_REPORT_1982_2010/</t>
  </si>
  <si>
    <t xml:space="preserve">Jensen OM, Parkin DM, MacLennan R, et al (eds): Cancer Registration: Principles and Methods. Lyon, France, IARC Scientific Publications, 1991</t>
  </si>
  <si>
    <t xml:space="preserve">WHO: International Statistical Classification of Diseases and Related Health Problems. Geneva, Switzerland, World Health Organization, 1994</t>
  </si>
  <si>
    <t xml:space="preserve">Bray F, Parkin DM: Evaluation of data quality in the cancer registry: Principles and methods. Part I: Comparability, validity and timeliness. Eur J Cancer 45:747-755, 2009</t>
  </si>
  <si>
    <t xml:space="preserve">Parkin DM, Bray F: Evaluation of data quality in the cancer registry: Principles and methods Part II. Completeness. Eur J Cancer 45:756-764, 2009</t>
  </si>
  <si>
    <t xml:space="preserve">Segi M: Cancer Mortality for Selected Sites in 24 Countries 1950-1957. Sendai, Japan, The Department of Public Health, Tohoku University School of Medicine 1960</t>
  </si>
  <si>
    <t xml:space="preserve">Joinpoint regression program, version 4.0.1. Statistical research and application branch, National Cancer Institute, 2013. https://surveillance.cancer.gov/joinpoint/</t>
  </si>
  <si>
    <t xml:space="preserve">Census of India: Registrar General of India, Socio Cultural Tables, C14, Population by Five Year Age Group, by Residence and Sex, New Delhi, 2001 &amp; 2011. www.censusindia.gov.in</t>
  </si>
  <si>
    <t xml:space="preserve">Takiar R, Shobana B: Cancer incidence rates and the problem of denominators - a new approach in Indian cancer registries. Asian Pac J Cancer Prev 10:123-126, 2009</t>
  </si>
  <si>
    <t xml:space="preserve">Nandakumar A, Kishor Rath G, Chandra Kataki A, et al: Concurrent chemoradiation for cancer of the cervix: Results of a multi-institutional study from the setting of a developing country (India). J Glob Oncol 1:11-22, 2015</t>
  </si>
  <si>
    <t xml:space="preserve">Edge SB: AJCC Cancer Staging Manual (ed 7). New York, NY, Springer, 2010</t>
  </si>
  <si>
    <t xml:space="preserve">National Centre for Disease Informatics and Research: Report on Cancer Burden in North Eastern States of India. Bengaluru, India, National Cancer Registry Programme (NCRP-ICMR) http://ncdirindia.org/</t>
  </si>
  <si>
    <t xml:space="preserve">Ngaihte P, Zomawia E, Kaushik I: Cancer in the NorthEast India: Where we are and what needs to be done? Indian J Public Health 63:251-253, 2019</t>
  </si>
  <si>
    <t xml:space="preserve">Bray F, Ferlay J, Soerjomataram I, et al: Global cancer statistics 2018: GLOBOCAN estimates of incidence and mortality worldwide for 36 cancers in 185 countries. CA Cancer J Clin 68:394-424, 2018</t>
  </si>
  <si>
    <t xml:space="preserve">Sharma JD, Kalit M, Nirmolia T, et al: Cancer: Scenario and relationship of different geographical areas of the globe with special reference to North East-India. Asian Pac J Cancer Prev 15:3721-3729, 2014</t>
  </si>
  <si>
    <t xml:space="preserve">Chaturvedi M, Vaitheeswaran K, Satishkumar K, et al: Time trends in breast cancer among Indian women population: An analysis of population based cancer registry data. Indian J Surg Oncol 6:427-434, 2015</t>
  </si>
  <si>
    <t xml:space="preserve">Takiar R: Status of breast and cervix cancer in selected registries of India. Ann Womens Health 2:1012, 2018</t>
  </si>
  <si>
    <t xml:space="preserve">Malvia S, Bagadi SA, Dubey US, et al: Epidemiology of breast cancer in Indian women. Asia Pac J Clin Oncol 13:289-295, 2017</t>
  </si>
  <si>
    <t xml:space="preserve">Mathew IE, Mathew A: Rising thyroid cancer incidence in Southern India: An epidemic of overdiagnosis? J Endocr Soc 1:480-487, 2017</t>
  </si>
  <si>
    <t xml:space="preserve">Lortet-Tieulent J, Franceschi S, Dal Maso L, et al: Thyroid cancer "epidemic" also occurs in low- and middle-income countries. Int J Cancer 144:2082-2087, 2019</t>
  </si>
  <si>
    <t xml:space="preserve">WHO: Overall Evaluations of Carcinogenicity: An Updating of IARC Monographs, Volumes 1-42. Lyon, France, IARC, 1987</t>
  </si>
  <si>
    <t xml:space="preserve">India State-Level Disease Burden Initiative Cancer Collaborators: The burden of cancers and their variations across the states of India: The Global Burden of Disease Study 1990-2016. Lancet Oncol 19:1289-1306, 2018</t>
  </si>
  <si>
    <t xml:space="preserve">Gandhi AK, Kumar P, Bhandari M, et al: Burden of preventable cancers in India: Time to strike the cancer epidemic. J Egypt Natl Canc Inst 29:11-18, 2017</t>
  </si>
  <si>
    <t xml:space="preserve">Shanta V, Selvaluxmy G, Swaminathan R, et al: Evolution in the management of locally advanced cervical cancer: The experience of Cancer Institute (WIA), Chennai, India. Asian Pac J Cancer Prev 11:1091-1098, 2010</t>
  </si>
  <si>
    <t xml:space="preserve">Pandey KC, Revannasiddaiah S, Pant NK, et al: Stage-wise presentation of non-metastatic head and neck cancer: An analysis of patients from the Kumaon hills of India. Asian Pac J Cancer Prev 15:4957-4961, 2014</t>
  </si>
  <si>
    <t xml:space="preserve">Nandakumar A, Kishor Rath G, Chandra Kataki A, et al: Survival in head and neck cancers: Results of a multi-institution study. Asian Pac J Cancer Prev 17:1745-1754, 2016</t>
  </si>
  <si>
    <t xml:space="preserve">Chandra S, Mohan A, Guleria R, et al: Delays during the diagnostic evaluation and treatment of lung cancer. Asian Pac J Cancer Prev 10:453-456, 2009</t>
  </si>
  <si>
    <t xml:space="preserve">Curado MP, Edwards B, Shin HR, et al (eds): Cancer Incidence in Five Continents, Volume IX. Lyon, France, IARC Scientific Publications, 2007</t>
  </si>
  <si>
    <t xml:space="preserve">Forman D, Bray F, Brewster DH, et al (eds): Cancer Incidence in Five Continents Volume X. Lyon, France, IARC Scientific Publications, 2014</t>
  </si>
  <si>
    <t xml:space="preserve">Bray F, Colombet M, Mery L, et al (eds): Cancer Incidence in Five Continents, Volume XI. Lyon, France, IARC Scientific Publications, 2017</t>
  </si>
  <si>
    <t xml:space="preserve">Bray F, Znaor A, Cueva P, et al (eds): Planning and Developing Population-Based Cancer Registration in Low- and Middle-Income Settings. Lyon, France, IARC Technical Publication, 2014</t>
  </si>
  <si>
    <t xml:space="preserve">Dhar M: A critical review of evolution of cancer registration in India. J Tumor Med Prev 2:555594 2018</t>
  </si>
  <si>
    <t xml:space="preserve">Sahoo SS, Verma M, Parija PP: An overview of cancer registration in India: Present status and future challenges. Oncol J India 2:86-89, 2018</t>
  </si>
  <si>
    <t xml:space="preserve">Behera P, Patro BK: Population based cancer registry of India - the challenges and opportunities. Asian Pac J Cancer Prev 19:2885-2889, 2018</t>
  </si>
  <si>
    <t xml:space="preserve">Kakkar R, Aggarwal P: Civil registration &amp; sample registration system: Challenges and initiatives. SRHU Medical Journal 1:47-49, 2017</t>
  </si>
  <si>
    <t xml:space="preserve">ORGI: Report on Medical Certification of Cause of Death (MCCD) 2017, India, Office of the Registrar General, Ministry of Home Affairs. Vital Stat (Ott Annu Ed), 2017. https://censusindia.gov.in/2011-Documents/mccd_Report1/MCCD_Report-2017.pdf</t>
  </si>
  <si>
    <t xml:space="preserve">National Health Authority: Ayushman Bharat Pradhan Mantri Jan Arogya Yojana. National Health Authority, Government of India. http://www.pmjay.gov.in/</t>
  </si>
  <si>
    <t xml:space="preserve">WHO: NCD Global Monitoring Framework. https://www.who.int/nmh/global_monitoring_framework/2013-11-06-who-dc-c268-whp-gap-ncds-techdoc-def3.pdf?ua=1</t>
  </si>
  <si>
    <t xml:space="preserve">United Nations: Transforming our world: The 2030 agenda for sustainable development. https://sustainabledevelopment.un.org/content/documents/21252030%20Agenda%20for%20Sustainable%20Development%20web.pdf</t>
  </si>
  <si>
    <t xml:space="preserve">WHO. Preventing cancer. Available on: https://www.who.int/activities/preventing-cancer.</t>
  </si>
  <si>
    <t xml:space="preserve">Report of National Cancer Registry Programme (ICMR-NCDIR), Bengaluru, India 2020. https://www.ncdirindia.org/All_Reports/Report_2020/default.aspx</t>
  </si>
  <si>
    <t xml:space="preserve">Census 2011. Office of the Registrar General &amp; Census Commissioner, India. Ministry of Home Affairs, Government of India.</t>
  </si>
  <si>
    <t xml:space="preserve">India: Health of the Nation's States - The India State-Level Disease Burden Initiative. New Delhi: ICMR, PHFI, and IHME; 2017.</t>
  </si>
  <si>
    <t xml:space="preserve">Office of the registrar general, India. Government of India, Report on medical certification of cause of death 2018</t>
  </si>
  <si>
    <t xml:space="preserve">Tata Institute of Social Sciences (TISS), Mumbai and Ministry of Health and Family Welfare, Government of India. Global Adult Tobacco Survey GATS 2 India 2016-17.</t>
  </si>
  <si>
    <t xml:space="preserve">International Institute for Population Sciences (IIPS) and ICF. National Family Health Survey (NFHS 5), State Factsheet- Maharashtra, 2019-20: India. Mumbai:IIPS</t>
  </si>
  <si>
    <t xml:space="preserve">International Institute for Population Sciences (IIPS) and ICF. 2017. National Family Health Survey (NFHS-4), 2015-16: India. Mumbai: IIPS.</t>
  </si>
  <si>
    <t xml:space="preserve">Government of India. Ministry of Health and Family Welfare. Statistics Division. Rural Health Statistics, 2018-19.</t>
  </si>
  <si>
    <t xml:space="preserve">National Medical Commission. (www.nmc.org.in)</t>
  </si>
  <si>
    <t xml:space="preserve">Press Information Bureau (https://pib.gov.in/PressReleasePage.aspx?PRID=1576623)</t>
  </si>
  <si>
    <t xml:space="preserve">National Cancer Control Programme (https://main.mohfw.gov.in/Organisation/Departments-of-Health-and-Family-Welfare/national-cancer-control-programme)</t>
  </si>
  <si>
    <t xml:space="preserve">Government of Maharashtra, Mahatma Jyotiba Phule Jan Arogya Yojana (MJPJAY) (www.jeevandayee.gov.in)</t>
  </si>
  <si>
    <t xml:space="preserve">The JCO paper numbers its references 1-47 and also lists "8a" (hospital-based registry reports) beside reference 8; here 8a is merged into reference 8 so the sheet holds 46 rows for JCO. Reference list of the Kumar et al. 2026 article is in sheet References.</t>
  </si>
  <si>
    <t xml:space="preserve">Source document</t>
  </si>
  <si>
    <t xml:space="preserve">PDF page</t>
  </si>
  <si>
    <t xml:space="preserve">Extracted text</t>
  </si>
  <si>
    <t xml:space="preserve">S4 - Kumar et al. 2026, IJCMPH (existing)</t>
  </si>
  <si>
    <t xml:space="preserve">International Journal of Community Medicine and Public Health
Kumar D et al. Int J Community Med Public Health. 2026 Apr;13(4):1867-1873
http://www.ijcmph.com pISSN 2394-6032 | eISSN 2394-6040
DOI: https://dx.doi.org/10.18203/2394-6040.ijcmph20261025
Original Research Article
State-wise forecasting of cancer incidence in India using a moderated
exponential regression model incorporating
healthcare system determinants
Dileep Kumar1, Navin Upadhyay2*, Himanshu Pandey2
1Department of Obstetrics and Gynecology BRD Medical College Gorakhpur, Uttar Pradesh, India
2Department of Mathematics and Statistics, Deen Dayal Upadhyaya Gorakhpur University, Gorakhpur, Uttar Pradesh,
India
Received: 11 December 2025
Revised: 17 March 2026
Accepted: 20 March 2026
*Correspondence:
Navin Upadhyay,
E-mail: navinupadhyayrs@gmail.com
Copyright: © the author(s), publisher and licensee Medip Academy. This is an open-access article distributed under
the terms of the Creative Commons Attribution Non-Commercial License, which permits unrestricted non-commercial
use, distribution, and reproduction in any medium, provided the original work is properly cited.
ABSTRACT
Background: Cancer incidence in India varies substantially across states and union territories, posing a significant
and growing public health challenge. Accurate projections of future cancer burden are essential for effective health
planning, resource allocation, and strengthening health systems. However, conventional forecasting approaches
largely rely on historical incidence trends and often ignore regional differences in health-care capacity, which
influence disease detection and reporting. Variations in infrastructure, oncology services, screening coverage, and
health expenditure can significantly affect observed cancer incidence. This study proposed a moderated forecasting
framework that integrates key state-level health-care indicators to generate more realistic and policy-relevant
projections.
Methods: A moderated exponential regression model was developed using state-wise cancer incidence data from the
National Cancer Registry Programme (ICMR-NCRP) for 2019-2022. The model incorporated multiple health system
moderators, including cancer hospitals, oncologist availability, screening coverage, CHC/PHC density, health
infrastructure index, per-capita health expenditure, and hospital-bed availability. Three projection scenarios were
constructed: short-term (2026) using health-care facility density, medium-term (2030) incorporating infrastructure and
workforce variables, and long-term (2045) including all seven moderators.
Results: The moderated models revealed substantial inter-state variation in projected cancer incidence. States with
stronger health systems exhibited slower increases, whereas those with weaker infrastructure showed more rapid
growth. Model fit and predictive accuracy improved significantly compared to conventional exponential models.
Conclusions: Incorporating health-care system factors enhances the reliability of cancer incidence projections. The
proposed framework offers a robust, evidence-based tool for policy planning and targeted health system strengthening
in India.
Keywords: Cancer, Moderated exponential, Regression
INTRODUCTION Programme (NCRP) of the Indian Council of Medical
Research (ICMR), the country has witnessed a steady rise
Cancer has emerged as one of the leading public health in cancer incidence over the past decade, with increasing
challenges in India, contributing significantly to variation across states and union territories. These
morbidity, mortality, and long-term health-system geographical disparities reflect not only differences in
burden. According to the National Cancer Registry demographic and lifestyle factors but also the unequal
International Journal of Community Medicine and Public Health | April 2026 | Vol 13 | Issue 4 Page 1867</t>
  </si>
  <si>
    <t xml:space="preserve">Kumar D et al. Int J Community Med Public Health. 2026 Apr;13(4):1867-1873
distribution of health-care resources such as cancer a strategic foundation for long-term cancer control
hospitals, oncology specialists, diagnostic services, and planning in India.
screening programmes. As India moves toward achieving
universal health coverage, the ability to accurately Existing literature provides a strong methodological
forecast the future trajectory of cancer burden- while foundation for developing advanced regression-based
accounting for health-system heterogeneity- has become forecasting models for cancer incidence. Early studies
essential for guiding evidence-based planning and examined computational techniques for exponential
investment decisions. regression and emphasized numerical stability and
accuracy- issues that are particularly important when
Traditional forecasting approaches often rely solely on working with short time series such as India’s 2019-2022
historical incidence trends, assuming uniform growth state-wise cancer incidence data.1
across regions. However, cancer progression and
detection are strongly influenced by health-care system In cancer epidemiology, classical statistical work
capacity, including screening coverage, primary care established core principles for analyzing cancer rates and
access, diagnostic infrastructure, and the availability of highlighted the need for appropriate adjustments for
specialized oncology services. States with stronger health population structure and registry completeness.2
infrastructure may detect cancer earlier or manage risk Extensions of exponential modeling, such as exponential
factors better, resulting in slower observed growth rates. possibility regression, further expanded regression
Conversely, states with weak health-care systems frameworks to accommodate uncertainty and imprecise
frequently exhibit delayed diagnosis and under-reporting, data, which is particularly relevant when dealing with
followed by rapid increases in incidence as detection variability in Indian health-system indicators.3
improves. These differences necessitate a prediction
model that incorporates health-care system moderators Applied research in survival analysis has emphasized the
rather than depending on time trends alone. importance of selecting appropriate statistical models for
oncological data.3,4 Additionally, logistic regression and
To address this gap, the present study proposes a regularized regression methods have been widely used in
moderated exponential regression framework for cancer diagnostics, demonstrating that incorporating
forecasting state-wise cancer incidence in India. Unlike interaction terms and health-related predictors can
simple exponential models that assume uniform growth, significantly improve predictive performance.5,6
this approach integrates multiple health-care moderators-
such as the number of cancer hospitals, number of Further methodological developments, including
oncologists, screening coverage, CHC/PHC density, exponentiated exponential regression and power
health infrastructure index, health expenditure, and exponential regression models, have extended the
hospital-bed availability- to estimate how these factors applicability of exponential-type models in medical data
shape the rate of cancer incidence growth over time. analysis.7-9 More recent approaches based on heavy-tailed
Interaction terms between time and each moderator allow distributions and simulation-based modeling frameworks
the model to quantify how improvements in health-care highlight the need for flexible nonlinear structures
systems can dampen or accelerate cancer growth capable of capturing complex patterns in biomedical
trajectories. data.10-12
Using state-wise incidence data from NCRP (2019-2022), Together, these studies suggest that cancer incidence
the study develops three moderator-specific forecasting forecasting should incorporate both exponential growth
models: a short-term model for 2026 using CHC/PHC dynamics and health-system determinants to better
density; a medium-term model for 2030 using four capture real-world heterogeneity across populations.
moderators (A-D); and a long-term model for 2045 using However, previous research has rarely integrated multiple
the complete set of seven moderators (A-G). This health-care moderators within an exponential forecasting
progressive modelling structure reflects the increasing framework for state-level prediction. Therefore, the
importance of comprehensive health-care capacity over present study addressed this gap by developing a
longer time horizons. moderated exponential regression model that incorporates
health infrastructure, workforce availability, screening
The introduction of moderated exponential regression coverage, and health expenditure indicators to generate
into cancer forecasting contributes to the literature in two short-, medium-, and long-term forecasts of cancer
important ways. First, it captures structural disparities in incidence for Indian states and union territories.
health-care delivery that drive state-wise differences in
cancer incidence growth. Second, it provides policy- The present research focused on forecasting the future
makers with a dynamic tool capable of linking health-care burden of cancer across Indian states and union territories
investments to future cancer trends. By quantifying how by developing a moderated exponential regression model
improvements in screening, infrastructure, and oncology that integrates both historical incidence trends and health-
services influence incidence projections, the model offers care system indicators. Using state-wise cancer incidence
data reported by the National Cancer Registry Programme
International Journal of Community Medicine and Public Health | April 2026 | Vol 13 | Issue 4 Page 1868</t>
  </si>
  <si>
    <t xml:space="preserve">Kumar D et al. Int J Community Med Public Health. 2026 Apr;13(4):1867-1873
(ICMR-NCRP) for the years 2019 to 2022, the study first patterns in cancer incidence, a log transformation was
establishes the baseline exponential growth pattern in applied to the outcome variable. The raw dependent
cancer cases, assuming that incidence increases variable, denoted as y, represents the annual cancer
multiplicatively over time. However, because cancer incidence for each state. For regression analysis, this
detection and reporting are strongly influenced by the value was transformed using the natural logarithm,
strength of health-care systems, the growth rate is not producing ln(y) as the dependent variable in the model.
uniform across states. To address this variability, the This transformation is essential because exponential
study incorporated a set of health-care moderators- models perform optimally when the response variable is
including the number of cancer hospitals, availability of expressed on a logarithmic scale. Log transformation not
oncologists, screening coverage, CHC/PHC density, only stabilizes the variance and reduces skewness in the
health infrastructure index, health expenditure per capita, data but also converts an inherently exponential
and hospital-bed availability. These moderators capture relationship into a linear form, thereby improving model
essential features of diagnostic capacity, treatment fit, interpretability, and the validity of regression
readiness, screening efficiency, and overall health-system assumptions.
strength.
The moderated exponential regression model is defined
METHODS as:
In order to forecast cancer incidence by state throughout
India, this study uses a moderated exponential regression ln(𝑦 𝑖𝑡 )=𝛼+𝛽 1 +∑[𝛽 2𝑘 +𝑋 𝑖𝑘 +𝛽 3𝑘 (𝑡𝑋 𝑖𝑘 )]+ℇ 𝑖𝑡
model within a quantitative analytical framework. In 𝑘
order to comprehend how infrastructure strength affects
future cancer growth rates, the methodological approach Dependent variable- The natural log of cancer incidence
combines historical cancer incidence data with important was modelled. Coefficients can be interpreted as
health-care system indicators. The National Cancer proportional or percentage changes in cancer incidence.
Registry Programme (NCRP) of the Indian Council of
Medical Research (ICMR) provided state-specific annual Baseline trend- β 1 measures the overall, underlying
cancer incidence counts for all cancer sites and both sexes annual growth rate (in percent) of cancer incidence across
for the years 2019, 2020, 2021, and 2022. Together, these all states and groups.
data form the baseline trend used to build the exponential
prediction model. Seven health-care moderator variables Moderator (fixed effect)- β 2k measures the initial, baseline
were included in the mode to take into consideration difference in the ln(incidence) for moderator group k
possible structural variations in detection and reporting compared to the reference group at time t=0.
capacity among states: i) number of cancer hospital; ii)
number of oncologist; iii) early detection system; iv) Interaction term- this is the engine of the analysis. It
primary health care access (CHC/PHC); v) health captures the unique effect of the moderator k over time.
infrastructure index; vi) financial strength of health
system; and vii) hospital beds per 1000 population. Moderation effect- this is the most crucial coefficient. It
measures the change in the growth rate of cancer
These variables were collected (or designed to be incidence for group k. A positive β means group k has
3k
collected) for each state/UT. cancer incidence that is growing faster than the overall
trend β .
1
In order to ensure that each state contributed four
observations corresponding to the annual cancer Error term- represents all unexplained variation and
incidence records for 2019, 2020, 2021, and 2022, the random factors influencing cancer incidence that are not
dataset was first reorganized into a state-time panel captured by time or the moderators.
format. By designating t=0 for 2019, t=1 for 2020, t=2 for
2021, and t=3 for 2022, a numerical time variable was Model interpretation
created to effectively model temporal progression. This
allowed the regression model to capture exponential 𝛽 - Baseline average exponential growth rate. This is the
1
growth patterns over time. Because exponential models overall, inherent annual percentage change in cancer
require the dependent variable to be expressed in incidence y for the reference group.
logarithmic form for optimal performance, the raw cancer
incidence values (denoted as y) were transformed using 𝛽 - Direct effect of moderator on incidence. This
2𝑘
the natural logarithm, producing ln(y) as the dependent measures the initial proportional difference in cancer
variable for analysis. This log transformation helps incidence y for moderator group k compared to the
stabilize variance, improves normality, and converts an reference group at the start of the study t=0.
exponential growth trend into a linear relationship,
thereby enhancing model interpretability and fitting 𝛽 - How the moderator changes the growth rate. This is
3𝑘
accuracy. To appropriately model exponential growth the differential growth rate. It measures how much faster
International Journal of Community Medicine and Public Health | April 2026 | Vol 13 | Issue 4 Page 1869</t>
  </si>
  <si>
    <t xml:space="preserve">Kumar D et al. Int J Community Med Public Health. 2026 Apr;13(4):1867-1873
or slower the rate of cancer incidence growth is for group standard errors (HC3) were applied, ensuring more
k compared to the baseline rate 𝛽 . accurate inference even when variance assumptions were
1
violated. Each health-care moderator was entered into the
Forecasting framework model along with its interaction term, allowing the
analysis to capture how differences in state-level health
Short-Term Forecast: 2026 infrastructure influence cancer growth rates over time. All
predictor variables were standardized prior to estimation
Time value: t=7 to place them on a comparable scale, facilitate model
convergence, and enable meaningful interpretation of
Moderator used: D only (CHC/PHC density) interaction effects. Following model estimation, the
predicted values- initially generated on the log scale-
ln(ŷ)=α+β +β +β (tD) were exponentiated to convert them back into their
1t 2D 3 original cancer incidence units, making the results
directly interpretable for policy and public health
Medium-term forecast: 2030
applications. The log-predicted values were converted
back:
Time value: t=11
𝑦̂ =𝑒𝑙𝑛𝑦̂
Moderators used: A, B, C, D
The model produced state-wise forecasts of cancer
Model includes hospital infrastructure, oncology
incidence for three future time periods based on
workforce, screening efficiency, primary-care
increasing levels of health-care moderation. Short-term
accessibility.
projections for 2026 were generated using health-care
center density (D) as the sole moderator, while medium-
Long-term forecast: 2045
term forecasts for 2030 incorporated four moderators (A-
D) to capture broader variation in diagnostic and
Time value: t=26
infrastructural capacity. Long-term projections for 2045
utilized all seven moderators (A-G), enabling a
Moderators used: A, B, C, D, E, F, G
comprehensive assessment of how health-system strength
influences the exponential growth rate of cancer
This comprehensive model captures: diagnostic capacity,
incidence across states. For each of the three moderated
treatment availability, health-system financing, long-
exponential regression models, detailed model summaries
range infrastructure expansion.
were generated, followed by interpretation tables that
quantified the individual and combined impact of the
Model estimation
moderators on predicted incidence levels. These outputs
collectively provide an integrated understanding of how
The model was estimated using ordinary least squares
health-care infrastructure, workforce availability, and
(OLS) regression, incorporating several enhancements to
system readiness shape the future burden of cancer in
improve reliability and interpretability. To address
India.
potential heteroscedasticity in the panel data, robust
Table 1: State-wise observed (2019-2022) and predicted (2026-2045) cancer incidence data for India.
State/UT 2019 2020 2021 2022 Pred 2026 Pred 2030 Pred 2045
Jammu and Kashmir 12,396 12,726 13,060 13,395 14,857 16,475 24,277
Ladakh 279 286 294 302 336 373 556
Himachal Pradesh 8,589 8,799 8,978 9,164 9,992 10,887 15,021
Punjab 37,744 38,636 39,521 40,435 44,322 48,578 68,516
Chandigarh 994 1,024 1,053 1,088 1,225 1,381 2,162
Uttaranchal 11,216 11,482 11,779 12,065 13,305 14,671 21,170
Haryana 28,453 29,219 30,015 30,851 34,356 38,269 57,344
Delhi 24,436 25,178 25,969 26,735 30,163 34,017 53,405
Rajasthan 69,156 70,987 72,825 74,725 82,850 91,854 135,242
Uttar Pradesh 196,652 201,319 206,088 210,958 231,671 254,411 361,432
Bihar 101,014 103,711 106,435 109,274 121,330 134,721 199,495
Sikkim 443 445 465 496 570 664 1,180
Arunachal Pradesh 1,015 1,035 1,064 1,087 1,194 1,310 1,859
Nagaland 1,719 1,768 1,805 1,854 2,046 2,259 3,275
Manipur 1,844 1,899 2,022 2,097 2,512 3,006 5,889
Continued.
International Journal of Community Medicine and Public Health | April 2026 | Vol 13 | Issue 4 Page 1870</t>
  </si>
  <si>
    <t xml:space="preserve">Kumar D et al. Int J Community Med Public Health. 2026 Apr;13(4):1867-1873
State/UT 2019 2020 2021 2022 Pred 2026 Pred 2030 Pred 2045
Mizoram 1,783 1,837 1,919 1,985 2,534 2,817 3,990
Tripura 2,507 2,574 2,623 2,715 2,936 3,187 4,554
Meghalaya 2,808 2,879 2,943 3,025 3,295 3,548 4,937
Assam 36,948 37,880 38,834 39,787 42,332 46,106 65,623
West Bengal 105,814 108,394 110,972 113,581 120,444 130,956 187,575
Jharkhand 33,045 33,961 34,910 35,860 38,798 43,330 64,198
Orissa 49,604 50,692 51,829 52,960 57,804 63,085 87,562
Chhattisgarh 27,113 27,828 28,529 29,253 32,371 35,816 52,330
Madhya Pradesh 75,911 77,888 79,871 81,901 90,634 100,286 146,572
Gujarat 67,841 69,660 71,507 73,382 81,492 90,485 133,987
Daman 118 124 135 150 204 282 943
Dadra and Nagar Haveli 186 206 219 238 328 452 1,504
Maharashtra 113,374 116,121 118,906 121,717 133,825 147,116 209,831
Telangana 46,464 47,620 48,775 49,983 55,083 60,706 87,401
Andhra Pradesh 68,883 70,424 71,970 73,536 80,241 87,546 121,375
Karnataka 83,824 85,968 88,126 90,349 99,844 110,330 160,451
Goa 1,591 1,618 1,652 1,700 1,850 2,020 2,808
Lakshadweep 27 27 28 28 30 32 39
Kerala 56,148 57,155 58,139 59,143 63,388 67,929 88,051
Tamil Nadu 86,596 88,866 91,184 93,536 103,676 114,902 168,953
Pondicherry 1,523 1,577 1,623 1,679 1,909 2,170 3,514
Andaman and Nicobar Islands 357 366 380 393 447 509 830
RESULTS the results underscore significant inter-state variation,
with northern and eastern states exhibiting steeper
Analysis of the NCRP cancer incidence data from 2019 to increases compared with southern and northeastern
2022 revealed a consistent upward trend across all Indian regions. The projections highlight the urgency for
states and union territories, with most regions showing stronger cancer prevention, early detection, and health-
annual growth ranging from 1.5% to 3.5%. High- system strengthening, particularly in high-burden states.
population states such as Uttar Pradesh, Maharashtra, The results also justify the need for moderated
West Bengal, Tamil Nadu, Karnataka, and Rajasthan exponential models incorporating health-care system
contributed disproportionately to the national cancer determinants to generate more realistic and policy-
burden, while smaller states and UTs like Ladakh, relevant forecasts.
Sikkim, Daman, and Lakshadweep exhibited lower
absolute case counts but still demonstrated steady
increases. The exponential regression model fitted
separately for each state indicated a strong linear pattern
in the log-transformed data, confirming the suitability of
an exponential growth assumption for short- and medium-
term projections. Using this model, cancer incidence
forecasts for 2026 show substantial increases in all states,
with Uttar Pradesh reaching approximately 231,671
cases, followed by Maharashtra (133,825) and West
Bengal (120,444). The 2030 projections further amplify
these trends, with Uttar Pradesh rising to 254,411 cases,
Maharashtra to 147,116, and Tamil Nadu and Karnataka
surpassing 110,000 cases each.
Long-term forecasting for 2045 revealed a dramatic
escalation in cancer burden due to compounded
exponential growth, with Uttar Pradesh projected to reach
361,432 cases, Maharashtra 209,831, West Bengal
187,575, and Tamil Nadu and Karnataka exceeding
160,000 cases each. Smaller northeastern states such as Figure 1: Heatmap showing the observed (2019–2022)
Manipur, Nagaland, and Mizoram show high relative and predicted (2026–2045) cancer population across
growth rates despite modest absolute numbers. Overall, Indian states using log₁₀-transformed values.
International Journal of Community Medicine and Public Health | April 2026 | Vol 13 | Issue 4 Page 1871</t>
  </si>
  <si>
    <t xml:space="preserve">Kumar D et al. Int J Community Med Public Health. 2026 Apr;13(4):1867-1873
regression reveal a consistent and worrying upward
trajectory across virtually all states and union territories.
Short-term projections to 2026 and medium-term
projections to 2030 indicate substantial absolute increases
in case-loads concentrated in high-population states- most
notably Uttar Pradesh, Maharashtra, West Bengal, Tamil
Nadu, Karnataka, and Rajasthan- while long-term
projections to 2045 show dramatic compounding of these
differences. These patterns reflect both population size
and differential capacity for early detection and reporting.
The exponential model’s strong fit on log-transformed
counts suggests that multiplicative growth captures the
recent dynamics of recorded incidence for the 2019-2022
window; nevertheless, the pure exponential projections
also underscore limitations when used alone because they
do not explicitly account for health-system factors that
alter detection rates or incidence through prevention and
Figure 2: Observed cancer population (2019-2022)
case finding. Incorporating health-care moderators is
and model-predicted values (2026-2045) for all
therefore critical for policy-relevant forecasting. The
States/UTs, illustrating temporal trends and projected
conceptual moderation strategy- introducing interaction
increases across regions.
terms between time and health-system indicators- permits
the growth rate itself to vary by state characteristics. This
approach recognizes, for example, that increases in
screening coverage or specialist density may initially
raise observed incidence (through better detection) but
ultimately reduce later-stage incidence and mortality by
enabling earlier treatment. Models that include CHC/PHC
density, cancer hospitals, oncologist counts, screening
coverage, health infrastructure index, health expenditure
and hospital-bed availability can disentangle detection
artifacts from genuine epidemiologic trends and provide
more stable policy-sensitive forecasts. Interaction
coefficients (time × moderator) are of particular interest:
a negative interaction indicates that higher moderator
levels are associated with slower growth, highlighting
areas where strengthening the health system could
dampen future burden.
Regional heterogeneity in projections also carries
programmatic implications. Northeastern states, despite
smaller absolute numbers, show high relative growth
rates- signaling either emerging detection gains or
genuine epidemiologic shifts that warrant targeted
surveillance and capacity building. High-burden large
states require scale-up of tertiary care, human resources,
and population-level screening to manage rising absolute
numbers. The modeling exercise identifies both
“quantity” challenges (volume of cases requiring
treatment centers and beds) and “quality” challenges
Figure 3: State-wise bar charts displaying observed (screening effectiveness, timely referral, oncology
(2019–2022) and predicted (2026–2045) cancer workforce competence). Sensitivity analysis and
population values for all Indian States/UTs. diagnostics suggest that while the log-linear exponential
model is a reasonable starting point, model validation
The figure highlights inter-state variation in historical should include checks for heteroskedasticity,
cancer burden and projected future increases. overdispersion, and model misspecification; where these
arise, alternatives such as exponentiated/power-
DISCUSSION exponential families, negative-binomial or hierarchical
models, and Bayesian frameworks should be considered.
The analysis of state-wise cancer incidence in India Finally, the results stress the need for integrated policy
(2019-2022) and its extrapolation via exponential responses. Forecasts must be interpreted alongside
International Journal of Community Medicine and Public Health | April 2026 | Vol 13 | Issue 4 Page 1872</t>
  </si>
  <si>
    <t xml:space="preserve">Kumar D et al. Int J Community Med Public Health. 2026 Apr;13(4):1867-1873
demographic projections (aging populations), risk-factor exponential regression is an effective method for
trends (tobacco, obesity, pollution), and improvements in predicting cancer trends and provides policymakers
registry coverage. A moderated forecasting framework looking to improve cancer-control tactics and allocate
links health-system investments to expected incidence resources effectively with useful information.
trajectories and thus provides a pragmatic decision-
support tool for allocating screening programs, workforce Funding: No funding sources
development, and infrastructure expansion. Despite Conflict of interest: None declared
providing a moderated framework for forecasting cancer Ethical approval: The study was approved by the
incidence, this study has certain limitations. First, the Institutional Ethics Committee
analysis relies on secondary data obtained from the
National Cancer Registry Programme (ICMR-NCRP) for REFERENCES
the period 2019-2022, which may not fully capture
underreporting or regional variations in cancer 1. Carmer SG. Computational aspects of exponential
registration coverage. Second, the forecasting model regression. Commun Stat Theory Methods.
assumes that the moderating health-care indicators- such 1974;3(3):229-45.
as health infrastructure, screening coverage, and oncology 2. Breslow NE, Day NE, Heseltine E. Statistical
workforce- remain relatively stable over time, whereas in methods in cancer research: Volume I- the analysis
reality these factors may change due to policy of case-control studies. IARC Scientific Publications
interventions, technological advancements, or health No. 32. International Agency for Research on
system reforms. Third, the model considers only selected Cancer. 1980.
state-level health-care indicators and does not incorporate 3. Lee ET, Wang J. (2003). Statistical methods for
other potentially important determinants such as lifestyle survival data analysis. 3rd edn. Wiley; 2003.
risk factors, environmental exposure, demographic 4. Abedi H, Sadeghi M, Boroumand MA, Nezami N.
transitions, and socioeconomic inequalities that may Application of survival models in oncology
influence cancer incidence. Finally, the projections are research: a comparative study. Cancer Epidemiol.
based on aggregated state-level data, which may mask 2019;60:80-7.
intra-state disparities between urban and rural 5. Chhatwal J, Alagoz O, Burnside ES. Logistic
populations. Therefore, while the proposed moderated regression and decision-analytic modelling of breast
exponential regression model improves predictive cancer diagnosis. Med Decision Making.
capability, the projections should be interpreted as 2009;29(4):414-26.
indicative estimates rather than precise forecasts, and 6. Falgreen S, Dybkær K, Young KH, Xu-Monette ZY,
future studies may benefit from incorporating longer El-Galaly TC, Laursen MB, et al. Predicting
time-series data and additional epidemiological and response to multidrug regimens in cancer patients
socioeconomic variables. using cell line experiments and regularised
regression models. BMC Cancer. 2015 Apr
CONCLUSION 8;15:235..
7. Prataviera F, Rotnitzky A, Robins J. Exponentiated
regression models for epidemiological applications.
The current study showed that cancer incidence in India is
Biometr J. 2019;61(2):302-20.
rising steadily in almost every state and union territory,
8. Ramires TG, Ortega EMM, Cordeiro GM. Power
with particularly significant increases predicted in high-
exponential regression models: Properties and
population areas like Uttar Pradesh, Maharashtra, West
applications. Commun Stat Theory Methods.
Bengal, Tamil Nadu, Karnataka, and Rajasthan. By using
2018;47(6):1344-62.
an exponential regression framework to analyze NCRP
9. Tanaka H, Ishibuchi H, Yoshikawa M. Exponential
data from 2019 to 2022, the research reveals that short-
possibility regression and its applications. Fuzzy
term and long-term cancer trends follow a clear
Sets Syst. 1995;69(1):51-60.
multiplicative growth pattern. However, the analysis also
10. Suleiman M, Ahmed Z, Rahman A. Simulation-
reveals that relying only on historical incidence does not
assisted nonlinear models for cancer data
fully capture the underlying drivers of regional variation.
forecasting. Stat Modell. 2025;25(1):90-112.
These moderators contribute to the explanation of why
11. Abaoud AA, Almuqrin A. Heavy‐tailed regression
some states see faster growth because of inadequate
models for biomedical data: simulation‐driven
screening or restricted access to treatment, while others
evaluation and applications. J Appl Stat.
exhibit slower growth because of more robust health
2024;51(3):512-30.
systems. In order to reduce future cancer burdens, the
12. Almuqrin A. Simulation-based nonlinear regression
results emphasize the significance of investing in early
methods for medical prediction models. Commun
detection, diagnostic capacity, oncology workforce
Stat Simulat Comput. 2024;53(1):145-62.
development, and equitable distribution of health
infrastructure. Overall, the study shows that moderated
Cite this article as: Kumar D, Upadhyay N, Pandey
H. State-wise forecasting of cancer incidence in India
using a moderated exponential regression model
incorporating healthcare system determinants. Int J
Community Med Public Health 2026;13:1867-73.
International Journal of Community Medicine and Public Health | April 2026 | Vol 13 | Issue 4 Page 1873</t>
  </si>
  <si>
    <t xml:space="preserve">S1 - Sathishkumar et al. 2022, IJMR</t>
  </si>
  <si>
    <t xml:space="preserve">Indian J Med Res 156, October &amp; November 2022, pp 598-607                                                                Quick Response Code:
DOI: 10.4103/ijmr.ijmr_1821_22
Cancer incidence estimates for 2022 &amp; projection for 2025: Result
from National Cancer Registry Programme, India
Krishnan Sathishkumar, Meesha Chaturvedi, Priyanka Das, S. Stephen &amp; Prashant Mathur
National Centre for Disease Informatics &amp; Research, Indian Council of Medical Research, Bengaluru, Karnataka,
India
Received August 20, 2022
              Background &amp; objectives: Information on recent cancer statistics is important for planning, monitoring
              and evaluating cancer control activities. This article aims to provide an update on the cancer incidence
              estimates in India by sex, age groups and anatomical sites for the year 2022.
              Methods: The National Cancer Registry Programme Report 2020, reported the cancer incidence from
              28 Population-Based Cancer Registries (PBCRs) for the years 2012-2016. This was used as the basis to
              calculate cancer estimates in India. Information pertaining to the population at risk was extracted from
              the Census of India (2001 and 2011) for the estimation of age–sex stratified population. PBCRs were
              categorised into the respective State and regions of the country to understand the epidemiology of cancer.
              The age-specific incidence rate for each specific anatomical site of cancer was applied to the estimated
              population to derive the number of cancer cases in India for 2022.
              Results: The estimated number of incident cases of cancer in India for the year 2022 was found to
              be 14,61,427 (crude rate:100.4 per 100,000). In India, one in nine people are likely to develop cancer
              in his/her lifetime. Lung and breast cancers were the leading sites of cancer in males and females,
              respectively. Among the childhood (0-14 yr) cancers, lymphoid leukaemia (boys: 29.2% and girls: 24.2%)
              was the leading site. The incidence of cancer cases is estimated to increase by 12.8 per cent in 2025 as
              compared to 2020.
              Interpretation &amp; conclusions: The cancer incidence is continuing to increase in India. The new estimates
              will be helpful in planning cancer prevention and control activities through the intervention of early
              detection, risk reduction and management.
Key words Cancer - estimates - incidence - India - National Cancer Registry Programme - projection
    According to the Global Cancer Observatory                          India would increase to 2.08 million, accounting for a
(GLOBOCAN) estimates, there were 19.3 million                           rise of 57.5 per cent in 2040 from 20202.
incident cancer cases worldwide for the year 20201.                         Planning, monitoring and evaluation of cancer
India ranked third after China and the United States of                 control activities requires recent statistics in any region.
America2. GLOBOCAN predicted that cancer cases in                       This is usually achieved through the Population-Based
© 2022 Indian Journal of Medical Research, published by Wolters Kluwer - Medknow for Director-General, Indian Council of Medical Research
                                                                  598</t>
  </si>
  <si>
    <t xml:space="preserve">SATHISHKUMAR et al: CANCER INCIDENCE ESTIMATES FOR 2022                                  599
Cancer Registries (PBCRs). Cancer is not a nationally           anatomical sites across the 28 PBCRs in India from
notable disease in India. Thus, the data collection from        the year 2012 to 20168. The anatomical sites follow
PBCRs involves active retrospective data abstraction,           the International Statistical Classification of Diseases
laborious and a complex process of analysis and                 and Related Health Problems (ICD-10, 10th revision)9.
reporting. Trained registry staff typically go to different     The population at risk was extracted from the Census
resource centers (hospitals, vital statistics departments       of India, Registrar General and General Census
and diagnostic laboratories) for collecting data on a           Commissioner of India for the years 2001 and 2011 by
standardized core form3. This delays the process of             State/Union Territory (UT) and sex10.
real-time reporting and bringing out the most recent
cancer statistics. Globally, there is usually a lag of 2-4 yr   Estimation of Cancer Incidence in India for 2022:
between actual cancer registry data and the publication         Crude incidence rate (CR) per 100,000 was calculated
of results (e.g. US cancer registry, GLOBOCAN)3,4.              by dividing the total number of cases by the total
Thus, providing estimates at periodic intervals is the          population. Age-specific incidence rate (ASIR) per
best way for informing cancer prevention and control            100,000 was derived by dividing the number of cancer
programmes. Hence, efforts to provide timely cancer             cases by the total population in that particular age
estimates based on the recently available data for              group. Age-adjusted rate (AAR) was the weighted
formulating appropriate cancer control measures are             average of ASIR and world standard population11. In
proposed5,6.                                                    the absence of any other competing cause of death,
                                                                cumulative risk refers to the likelihood that a given
    In India, the systematic collection of data on
                                                                individual will be diagnosed with cancer during his or
cancer through the PBCRs and Hospital-Based Cancer
                                                                her lifetime between the ages of 0 and 74 years. This
Registries is in existence since 1981 under the National
                                                                was expressed as ‘1 in how many’ are likely to develop
Cancer Registry Programme (NCRP), National Centre
                                                                cancer during their lifetime.
for Disease Informatics and Research (NCDIR) of the
Indian Council of Medical Research (ICMR-NCDIR),                     The PBCRs with a minimum three years’ data and
Bengaluru.                                                      incidence rate, consistent with previous years, were
     One of the primary objectives of NCRP is to                included for estimation. The coverage of PBCRs is
generate reliable data on the magnitude and patterns            varied across India, with full/less/no coverage among
of cancer in India and provide future estimates. Our            the States/UTs. The North-East (NE) region has better
previous publication estimated 1.39 million new                 representativeness over the rest of India, with four NE
(incident) cancer cases in the year 20205. The present          States (Sikkim, Manipur, Mizoram and Tripura) having
article is aimed to provide detailed estimates of cancer        100 per cent PBCR coverage and each NE State with at
incidence in India by sex, age groups and anatomical            least one fully functional PBCR. Of the 28 PBCRs rural,
sites for the year 2022 and the projected rise in cases         urban and semi-urban distributions were one (3.5%),
for 2025, using the same datasets and methodology5.             12 (42.9%) and 15 (53.6%), respectively. There was no
In addition, five-year and broad age group-wise cancer          sampling method used in selecting PBCRs. The PBCRs
estimates were also calculated for the year 2022.               of the respective State/region were used to differentiate
Noticeably, GLOBOCAN followed a similar approach                between rural and urban settings wherever feasible.
for 2020 after publishing the 2018 cancer estimates1,7.         For example, Chennai and Dindigul PBCRs’ rates were
                                                                used to describe Tamil Nadu State urban and rural rate,
                  Material &amp; Methods
                                                                respectively12. Patiala PBCRs cover both urban and
    The present study was carried out at ICMR-                  rural areas and have been used for the Punjab State8.
National Centre for Disease Informatics &amp; Research,             For regions with less/no PBCR coverage, the pooled
Bengaluru, Karnataka, India. The study used secondary           incidence rates (combination of rural and urban) were
data for analyses and was granted exemption from                used for the rest of India except for Delhi, Punjab
review approval by the Institutional Ethics Committee           district, Maharashtra and the southern region.
of ICMR-NCDIR (Ref: NCDIR/IEC/3060/2022).
                                                                    First, the representation of PBCRs by
Data sources: NCRP reports 2020 described cancer                State/region wise was assigned for estimating cancer
incidence by sex, 16 age groups (0-4, 5-9, 10-14,               burden (Supplementary Table I). Then, the Indian
15-19, 20-24, 25-29, 30-34, 35-39, 40-44, 45-49,                States/UT-wise population by five-year age groups till
50-54, 55-59, 60-64, 65-69, 70-74 and 75+; in yrs) and          2022 were calculated using the difference distribution</t>
  </si>
  <si>
    <t xml:space="preserve">600                               INDIAN J MED RES, OCTOBER &amp; NOVEMBER 2022
method from the 2001 to 2011 census growth rate13.         year 2022. In the childhood group (0-14 yr) lymphoid
Thereafter, the ASIR of each specific anatomical           leukaemia is the leading site for both boys (29.3%)
site from 2012 to 2016 was applied to the estimated        and girls (24.3%), followed by the brain nervous
population to derive the number of cancer cases in         system (NS) (boys: 12.4% and girls: 14.3%). In the
India for 2022. Cancer estimates for each specific         adolescent and young adult group (15-39 yr), among
anatomical site were added to get the total estimate       males, the leading sites are mouth (12.0%), tongue
of all site cancer (ICD 10: C00-C97). The pooled age,      (8.8%), brain NS (7.0%), myeloid leukaemia (6.5%)
sex- and site-specific incidence rates were computed       and non-Hodgkin lymphoma (NHL) (5.9%); among
using the population-weighted average of the rates         females, breast (27.3%), thyroid (12.2%), ovary
from the PBCRs. The estimation of cancer incidence         (7.3%), cervix (7.1%) and myeloid leukaemia (3.7%).
was done assuming that the 28 PBCRs represent the          In 40-64 years’ age group, among males, the leading
country with a constant incidence rate over time.          sites included the lung (11.0%), mouth (10.9%) and
    The same process has been executed to estimate the     tongue (7.3%). Among females, the leading sites were
cancer cases for the year 2025. The statistical analysis   breast (33.0%), cervix (12.3%) and ovary (6.5%); this
and graphs were generated using in-house software          age group had a high incidence of cases in both males
Population-Based Cancer Registry Data Management           (3,41,230) and females (4,25,918). Above 65 yr of age,
(PBCRDM) version 2.1 and Microsoft Excel.                  prostate (12.3%) was the second-leading site after lung
                                                           (13.1%) in males. Above 40 yr of age, lung cancer was
                        Results                            the top most common cancer among males while breast
    Table I presents the estimated cancer incidence,       cancer topped in females.
number of cases, crude rate and cumulative risk by             Fig. 2 presents the estimated cancer cases and
sex and anatomical sites in India for the year 2022.       ASIR by five-year age group and gender for India
The estimated number of cancer cases and crude             in 2022. The ASIR for all sites of cancer started
incidence rate in India for the year 2022 was 14,61,427    increasing from 25 years of age in both males and
(100.4 per 100,000), with a greater number of female       females. However, the ASIR among females aged
cases 7,49,251 (105.4 per 100,000) estimated compared      25-59 yr was higher than in males. Above 60 yr, the
to that in males 7,12,176 (95.6 per 100,000). The          male ASIR was higher than females and it peaked at
estimated AAR for all sites of cancer in India would       75+ yr with 710.6 per 100,000. While in females, the
be 107.0 per 100,000. The leading five sites with the      ASIR dropped to 451.7 per 100,000 at 75+ yr. The
highest cancer burden in both sexes were organs of the     highest number of cancer cases were in the 60-64 yr
digestive system (2,88,054), breast (2,21,757), genital    age group (males: 1,06,296 and females: 1,05,139).
system (2,18,319), oral cavity and pharynx (1,98,438)
and respiratory system (1,43,062). The cumulative               Table III provides the estimated leading sites of
risk to develop cancer in his/her lifetime between 0       cancer cases by different periods (2015, 2020 and
and 74 yr was one in every nine persons for all sites      2025) for leading sites of cancer. While in males, all
of cancer in both sexes, one in 67 for lung cancers in     site - cancers are likely to increase to 7,63,575 in 2025
males and one in 29 for breast cancer in females.          from 6,01,737 in 2015, in females all site - cancers are
                                                           likely to increase to 8,06,218 in 2025 from 6,27,202 in
    Fig. 1 presents the estimated top five leading sites   2015. The projected leading cancer cases of the lung
of cancer; among males these were lung (10.6%),            and breast would be 81,219 and 2,32,832 among males
mouth (8.4%), prostate (6.1%), tongue (5.9%) and           and females, respectively, for the year 2025. Cancer
stomach (4.8%). The estimated top five leading sites of
                                                           cases considered together for all sites are expected to
cancer among females included breast (28.8%), cervix
                                                           increase by 27.7 per cent from 2015 to 2025.
(10.6%), ovary (6.2%), corpus uteri (3.7%) and lung
(3.7%). Liver cancer (3.9%) was among the leading ten                            Discussion
cancers in males and not in females, whereas thyroid            In India, the incidence of cancer cases is likely to
(3.6%) and gallbladder (2.7%) cancers were in top ten      increase from 1.46 million in 2022 to 1.57 million in
among females but not in males.
                                                           2025. The national average for the year 2022 of crude
    Table II provides gender disaggregated, estimated      rate of incidence per 100,000 is 100.4; for males, 95.6
top five leading sites of cancer (%) in India by age       and females, 105.4. Lung and breast cancers in males
group (0-14, 15-39, 40-64, 65+ age group) for the          and females, respectively, remain to be the leading sites</t>
  </si>
  <si>
    <t xml:space="preserve">Table I. Estimated number, incidence rate and cumulative risk for all cancer sites in India by sex‑2022
Site                                                       Male                                        Female                                  Both sexes
                                          Cases     CR      AAR       Cum‑risk       Cases       CR      AAR       Cum‑risk        Cases      CR     AAR     Cum‑risk
All sites                               712,176     95.6    105.7       1 in 9      749,251    105.4     109.0       1 in 9      1,461,427   100.4   107.0    1 in 9
Oral cavity and pharynx                 145,844     19.6    21.2       1 in 42       52,594      7.4      7.7      1 in 115       198,438    13.6    14.4     1 in 62
Tongue                                   41,845     5.6      6.0      1 in 147       14,611      2.1      2.1      1 in 400       56,456      3.9     4.1    1 in 215
Mouth                                    60,164     8.1      8.6      1 in 103       23,675      3.3      3.5      1 in 241       83,839      5.8     6.1    1 in 144
Pharynx                                   3177      0.4      0.5      1 in 1793       1168       0.2      0.2      1 in 5482       4345       0.3     0.3    1 in 2704
Other oral cavity                        40,658     5.5      6.1      1 in 137       13,140      1.8      1.9      1 in 475       53,798      3.7     4.0    1 in 213
Digestive system                        172,025     23.1    25.9       1 in 32      116,029     16.3      17.0      1 in 50       288,054    19.8    21.4     1 in 39
Oesophagus                               34,272     4.6      5.2      1 in 159       21,300      3.0      3.1      1 in 263       55,572      3.8     4.2    1 in 198
Stomach                                  34,353     4.6      5.2      1 in 160       18,353      2.6      2.7      1 in 319       52,706      3.6     3.9    1 in 213
Small intestine                           2255      0.3      0.3      1 in 2498       1533       0.2      0.2      1 in 3877       3788       0.3     0.3    1 in 3041
Colon                                    21,595     2.9      3.2      1 in 260       16,512      2.3      2.4      1 in 348       38,107      2.6     2.8    1 in 298
Rectum                                   22,985     3.1      3.4      1 in 244       15,767      2.2      2.3      1 in 372       38,752      2.7     2.8    1 in 295
Anus, anal canal                          3037      0.4      0.4      1 in 1865       2131       0.3      0.3      1 in 2682       5168       0.4     0.4    1 in 2200
Liver and intrahepatic bile duct         28,020     3.8      4.3      1 in 189       11,306      1.6      1.7      1 in 514       39,326      2.7     3.0    1 in 276
Gallbladder and other biliary            12,997     1.7      1.9      1 in 423       20,570      2.9      3.0      1 in 283       33,567      2.3     2.5    1 in 339
Pancreas                                 12,511     1.7      1.9      1 in 429        8557       1.2      1.3      1 in 656       21,068      1.4     1.6    1 in 519
Respiratory system                      108,848     14.6    16.2       1 in 48       34,214      4.8      4.8      1 in 165       143,062     9.8    10.4     1 in 74
Larynx                                   28,542     3.8      4.3      1 in 184        3498       0.5      0.5      1 in 1629      32,040      2.2     2.4    1 in 331
Lung and bronchus                        75474      10.1    11.6       1 in 67       27,897      3.9      4.1      1 in 209       103,371     7.1     7.8    1 in 101
Other respiratory organs                  4832      0.6      0.3      1 in 1274       2819       0.4      0.2      1 in 2149       7651       0.5     0.2    1 in 1602
Bones and joints                          8426      1.1      1.1      1 in 1011       6087       0.9      0.8      1 in 1365      14,513      1.0     1.0    1 in 1160
Soft tissue                               8380      1.1      1.2      1 in 844        6895       1.0      1.0      1 in 1050      15,275      1.0     1.1    1 in 936
Skin (excluding basal and squamous)      11,745     1.6      1.7      1 in 510        9412       1.3      1.4      1 in 641       21,157      1.5     1.5    1 in 569
Melanoma of the skin                      3145      0.4      0.5      1 in 1909       2479       0.3      0.4      1 in 2288       5624       0.4     0.4    1 in 2081
                                                                                                                                                                         SATHISHKUMAR et al: CANCER INCIDENCE ESTIMATES FOR 2022
Other non‑epithelial skin                 8600      1.2      1.3      1 in 696        6933       1.0      1.0      1 in 891       15,533      1.1     1.1    1 in 782
Breast                                    5649      0.8      0.8      1 in 1021     216,108     30.4      31.2      1 in 29       221,757    15.2    16.0     1 in 56
Genital system                           54,625     7.3      8.4      1 in 105      163,694     23.0      23.9      1 in 37       218,319    15.0    16.0     1 in 53
Uterine cervix                              ‑         ‑       ‑           ‑          79,103     11.1      11.6      1 in 75       79,103     11.1    11.6     1 in 75
Uterine corpus                              ‑         ‑       ‑           ‑          27,922      3.9      4.2      1 in 190       27,922      3.9     4.2    1 in 190
Ovary                                       ‑         ‑       ‑           ‑          46,126      6.5      6.7      1 in 133       46,126      6.5     6.7    1 in 133
Vulva                                       ‑         ‑       ‑           ‑           2258       0.3      0.3      1 in 2454       2258       0.3     0.3    1 in 2454
                                                                                                                                                              Contd...
                                                                                                                                                                         601</t>
  </si>
  <si>
    <t xml:space="preserve">602
Site                                                     Male                                       Female                                   Both sexes
                                        Cases      CR     AAR       Cum‑risk       Cases      CR      AAR      Cum‑risk        Cases       CR      AAR       Cum‑risk
Vagina and other genital, female           ‑        ‑       ‑           ‑          7961       1.1      1.2      1 in 747        7961       1.1      1.2      1 in 747
Placenta                                   ‑        ‑       ‑           ‑           324       0.0      0.0    1 in 31,252       324        0.0      0.0     1 in 31,252
Prostate                                43,691     5.9     6.8      1 in 125         ‑         ‑        ‑           ‑          43,691      5.9      6.8      1 in 125
Testis                                   4521      0.6     0.6      1 in 2092        ‑         ‑        ‑           ‑           4521       0.6      0.6      1 in 2092
Penis and other genital, male            6413      0.8     1.0      1 in 917         ‑         ‑        ‑           ‑           6413       0.8      1.0      1 in 917
Urinary system                          34,942     4.7     5.3      1 in 158      11,861      1.7      1.8      1 in 500       46,803      3.2      3.5      1 in 240
Urinary bladder                         21,523     2.9     3.3      1 in 250       5713       0.8      0.8     1 in 1011       27,236      1.9      2.0      1 in 402
Kidney and renal pelvis                 12,963     1.7     2.0      1 in 442       5930       0.8      0.9     1 in 1036       18,893      1.3      1.4      1 in 619
Ureter and other urinary organs          456       0.1     0.1     1 in 10,755      218       0.0      0.0    1 in 21,739       674        0.0      0.1     1 in 14,422
Eye and orbit                            1326      0.2     0.2      1 in 6887       977       0.1      0.2     1 in 9049        2303       0.2      0.2      1 in 7799
Brain and other nervous system          20,811     2.8     2.9      1 in 341      13,296      1.9      1.9      1 in 546       34,107      2.3      2.4      1 in 419
Endocrine system                         9682      1.3     1.4      1 in 708      27,847      3.9      3.8      1 in 280       37,529      2.6      2.5      1 in 402
Thyroid                                  8967      1.2     1.2      1 in 758      27,253      3.8      3.7      1 in 285       36,220      2.5      2.4      1 in 416
Adrenal gland                            715       0.1     0.1     1 in 10,776      594       0.1      0.1    1 in 13,920       1309       0.1      0.1     1 in 12,146
Lymphoma                                34,116     4.6     4.9      1 in 197      21,233      3.0      3.1      1 in 296       55,349      3.8      4.0      1 in 236
Hodgkin lymphoma                         7561      1.0     1.0      1 in 1150      4113       0.6      0.6     1 in 1866       11,674      0.8      0.8      1 in 1416
Non‑Hodgkin lymphoma                    26,497     3.6     3.8      1 in 238      17,070      2.4      2.5      1 in 352       43,567      3.0      3.2      1 in 284
Malig Imn.Prol D                          58       0.0     0.0    1 in 103,646      50        0.0      0.0    1 in 163,299      108        0.0      0.0    1 in 127,221
Multiple myeloma                        11,261     1.5     1.7      1 in 465       8165       1.1      1.2      1 in 646       19,426      1.3      1.5      1 in 541
                                                                                                                                                                          INDIAN J MED RES, OCTOBER &amp; NOVEMBER 2022
Leukaemia                               33,604     4.5     4.8      1 in 239      21,969      3.1      3.2      1 in 352       55,573      3.8      4.0      1 in 284
Lymphoid leukaemia                      14,546     2.0     2.1      1 in 609       7638       1.1      1.2     1 in 1137       22,184      1.5      1.7      1 in 790
Myeloid leukaemia                       15,531     2.1     2.2      1 in 474      11,788      1.7      1.7      1 in 616       27,319      1.9      1.9      1 in 536
Leukaemia unspecified                    3527      0.5     0.5      1 in 2292      2543       0.4      0.4     1 in 2974        6070       0.4      0.4      1 in 2585
Other and unspecified primary sites     50,892     6.8     7.6      1 in 114      38,870      5.5      5.7      1 in 153       89,762      6.2      6.6      1 in 131
Cum‑risk, cumulative risk of developing cancer in 0‑74 yr of age; CR, crude rate; AAR, age‑adjusted rate; Malig Imn.Prol D, malignant immunoproliferative diseases</t>
  </si>
  <si>
    <t xml:space="preserve">SATHISHKUMAR et al: CANCER INCIDENCE ESTIMATES FOR 2022                                                                                                                                     603
                                                                       Males                                                                                                Females
                               Lung                                  10.6                                                     Breast                                                                       28.8
                              Mouth                            8.4                                                            Cervix                                        10.6
                             Prostate                    6.1                                                                  Ovary                           6.2
                             Tongue                     5.9                                                         Corpus Uteri                     3.7
                            Stomach                 4.8                                                                        Lung                  3.7
                  Oesophagus                        4.8                                                                   Thyroid                    3.6
                             Larynx                4.0                                                                        Mouth                  3.2
                               Liver               3.9                                                              Oesophagus                      2.8
                               NHL                3.7                                                                Gallbladder                    2.7
                             Rectum               3.2                                                                   Stomach                     2.4
                                        0                      10                     20                    30                          0                       10                       20              30
                                                                                                      Percentage
                                 Fig. 1. Estimated proportion of top 10 leading sites of cancer in India by sex – 2022.
                            120000                                                                                                                                                                   800
                                                                    Males                                                                                                                            700
                            100000
                                                                    Females
                                                                                                                                                                                                     600
                            80000
                                                                                                                                                                                                            Age-specific rates
                                                                                                                                                                                                     500
                  Numbers
                            60000                                                                                                                                                                    400
                                                                                                                                                                                                     300
                            40000
                                                                                                                                                                                                     200
                            20000
                                                                                                                                                                                                     100
                                 0                                                                                                                                                                   0
                                            0-4
                                                  5-9
                                                           10-14
                                                                      15-19
                                                                              20-24
                                                                                           25-29
                                                                                                   30-34
                                                                                                            35-39
                                                                                                                      40-44
                                                                                                                                45-49
                                                                                                                                            50-54
                                                                                                                                                      55-59
                                                                                                                                                                    60-64
                                                                                                                                                                               65-69
                                                                                                                                                                                       70-74
                                                                                                                                                                                               75+
                                                                                                           Age groups
                             Fig. 2. Estimated age-wise number and incidence rate for all sites of cancer by sex – 2022.
of cancer. Lymphoid leukaemia, followed by brain NS                                                                     Based on the data from the three PBCRs, the cancer
is the leading site of cancer in the childhood age group                                                                burden in India was projected for the year 200114. With
among both sexes. ASIR increased with increasing age                                                                    the expansion of PBCRs, cancer estimate updates were
and it was higher in the female reproductive age group                                                                  published based on available PBCRs5,15-18. Recently,
(15-49 yr). Lung cancer was estimated to be 1,03,371                                                                    GLOBOCAN estimated the cancer incidence for
cases in 2022 and it featured in the top five leading sites                                                             India for the year 2020 using ASIR from 27 PBCRs
for both males and females. The current estimates for                                                                   of 2012-2014 data and cancer incidence in five
cancer in India increased by five per cent (14,61,427 in                                                                continents4,19. China had estimated the incidence for
2022 compared to 13,92,179 in 2020)5.                                                                                   the year 2022, assuming that the ASIR in 2020 would
    The NCRP, India, started with three PBCRs                                                                           continue to be constant20. The present study used
located at Bangalore, Mumbai and Chennai in 1982.                                                                       recently available 28 PBCRs ASIR of 2012-2016</t>
  </si>
  <si>
    <t xml:space="preserve">604                                   INDIAN J MED RES, OCTOBER &amp; NOVEMBER 2022
  Table II. The estimated top five leading sites of cancer (number and proportion) in India by age group (0‑14, 15‑39, 40‑64, 65+ age
  group) and sex for the year 2022
                             Males                                                                    Females
  Cancer site                                      n (%)                                Cancer site                          n (%)
                                                                 0‑14 yr
  Lymphoid leukaemia (C91)                      6233 (29.3)                 Lymphoid leukaemia (C91)                      3328 (24.3)
  Brain and NS (C70‑C72)                        2643 (12.4)                 Brain and NS (C70‑C72)                        1956 (14.3)
  NHL (C82‑86, C96)                              1679 (7.9)                 Bone (C40‑C41)                                1140 (8.3)
  Hodgkin’s disease (C81)                        1513 (7.1)                 Myeloid leukaemia (C92‑C94)                   1099 (8.0)
  Myeloid leukaemia (C92‑C94)                    1498 (7.0)                 NHL (C82‑86, C96)                              783 (5.7)
  Other sites                                   7742 (36.3)                 Other sites                                   5403 (39.4)
  All sites                                   21,308 (100.0)                All sites                                   13,709 (100.0)
                                                                15‑39 yr
  Mouth (C03‑C06)                               9013 (12.0)                 Breast (C50)                                 25,710 (27.3)
  Tongue (C01‑C02)                               6597 (8.8)                 Thyroid (C73)                                11,453 (12.2)
  Brain and NS (C70‑C72)                         5230 (7.0)                 Ovary (C56)                                   6877 (7.3)
  Myeloid leukaemia (C92‑C94)                    4881 (6.5)                 Cervix (C53)                                  6714 (7.1)
  NHL (C82‑86, C96)                              4444 (5.9)                 Myeloid leukaemia (C92‑C94)                   3503 (3.7)
  Other sites                                  44,707 (59.7)                Other sites                                  39,909 (42.4)
  All sites                                   74,872 (100.0)                All sites                                   94,166 (100.0)
                                                                40‑64 yr
  Lung (C33‑34)                                37,376 (11.0)                Breast (C50)                                140,384 (33.0)
  Mouth (C03‑C06)                              37,067 (10.9)                Cervix (C53)                                 52,560 (12.3)
  Tongue (C01‑C02)                              24,951 (7.3)                Ovary (C56)                                  27,562 (6.5)
  Oesophagus (C15)                              18,390 (5.4)                Corpus uteri (C54)                           18,108 (4.3)
  Stomach (C16)                                 17,741 (5.2)                Lung (C33‑34)                                14,341 (3.4)
  Other sites                                 205,705 (60.3)                Other sites                                 172,963 (40.6)
  All sites                                   341,230 (100.0)               All sites                                  425,918 (100.0)
                                                                  65+yr
  Lung (C33‑34)                                36,013 (13.1)                Breast (C50)                                 49,946 (23.2)
  Prostate (C61)                               33,695 (12.3)                Cervix (C53)                                 19,814 (9.2)
  Oesophagus (C15)                              14,668 (5.3)                Lung (C33‑34)                                11,793 (5.5)
  Stomach (C16)                                 14,435 (5.3)                Ovary (C56)                                  11,188 (5.2)
  Mouth (C03‑C06)                               14,035 (5.1)                Mouth (C03‑C06)                               9060 (4.2)
  Other sites                                 161,920 (58.9)                Other sites                                 113,657 (52.8)
  All sites                                   274,766 (100.0)               All sites                                  215,458 (100.0)
  NHL, non‑Hodgkin lymphoma; NS, nervous system
with a better representation of States to arrive at the                   for the year 20202. This difference could be attributable
projection. The decadal census of 2021 has been                           to the difference in methodology, use of recent data and
delayed due to the COVID-19 pandemic. Post-censal                         assumptions.
estimates of the 2001-2011 census growth rate were
used for the population at risk in India10,13. The factors                     The PBCRs included in the analysis covered
influencing population, such as fertility, mortality and                  approximately 10 per cent of the population in
migration, were not incorporated for estimation. NCRP                     India. Data from some of the populous States
estimate was 5.1 per cent higher than the GLOBOCAN                        (e.g. Uttar Pradesh and Bihar) is not yet available for</t>
  </si>
  <si>
    <t xml:space="preserve">SATHISHKUMAR et al: CANCER INCIDENCE ESTIMATES FOR 2022                                                    605
        Table III. Estimated trends in number of cancer cases for the leading sites (ICD‑10 codes) in India in 2015, 2020 and 2025
                               Males                                                               Females
  Cancer site (ICD 10)         2015          2020          2025        Cancer site (ICD 10)          2015          2020          2025
  Lung (C33‑34)               63,087        71,788        81,219       Breast (C50)                180,252       205,424       232,832
  Mouth (C03‑C06)             50,779        57,380        64,519       Cervix (C53)                 65,978        75,209        85,241
  Prostate (C61)              36,419        41,532        47,068       Ovary (C56)                  38,607        43,886        49,644
  Tongue (C01‑C02)            35,336        39,902        44,861       Corpus uteri (C54)           23,175        26,514        30,121
  Stomach (C16)               28,815        32,713        36,938       Lung (C33‑34)                23,163        26,490        30,109
  Others                      387,301       436,106       488,970      Others                      296,027       335,235       378,271
  All sites                   601,737       679,421       763,575      All sites                   627,202       712,758       806,218
  ICD, International Classification of Diseases 10 Revision
                                                 th
analysis. India’s current NCRP coverage is 16.4 per                     Hence, the approach of estimating incidence from
cent, and the country’s urban and rural population                      mortality or survival was not attempted. Methodological
coverage rates are 31.6 and 9.5 per cent, respectively.                 characteristics for cancer estimations were presented
Furthermore, the rural component of PBCRs is not                        from various sources (Supplementary Table II). The
presented in the majority of States. It is therefore                    longer period (&gt;25 yr) of data is available only from
recommended that cancer registration be expanded                        six (5-urban and 1-rural) out of 28 PBCRs. Due to the
to include a more representative population in each                     unavailability of a longer period of data from most
State of India for more reliable projections and to                     of the PBCRs, statistical modelling techniques such
strengthen cancer control activities. Having cancer                     as Age-Period-Cohort could not be included. There
as a notifiable disease in the country will improve the                 were several challenges to starting a PBCR in low-
coverage and provide a better representation as well.                   and middle-income countries. A sample of regional
Time trends in the cancer incidence rate approach were                  PBCRs or a series of regional PBCRs with 10 per cent
not followed; rather we assumed the recent available                    of coverage would get considerable benefit for cancer
incidence rate (constant) as a conservative approach                    control purposes22. In these circumstances, this is the
for this estimation. The increase in cancer cases was                   best available cancer data in the country for estimation.
attributable to the changes in population dynamics and                  GLOBOCAN, IARC has used the same PBCRs to
its growth. India is expected to see an increase in the                 estimate the burden for India and similarly for some of
older age population, and especially the proportion                     the neighbouring countries in the South Asia region19.
of the population (&gt;60 yr) is expected to increase
from 8.6 per cent in 2011 to 9.7 per cent in 2022                            A review on the burden of cancer in India attributed
(Supplementary Figure)10. There would be changes in                     the increases to improved cancer diagnostics, cancer
estimated cancer incidence, which depends upon the                      data capture and continuing epidemiologic transition23.
risk factors, improvement in case findings, introduction                Tobacco-related/lifestyle/ageing-related           cancer
of screening programmes and cancer detection and                        incidence rate has increased over time for the tongue,
diagnosis techniques. The COVID-19 pandemic made                        mouth, colon, rectum, liver, lung, breast, corpus uteri,
an impact on the reduction in new cancer registration                   ovary, thyroid, prostate, gallbladder, pancreas, kidney,
and delivery of oncology services in India, which was                   urinary bladder, brain, NHL and lymphoid leukaemia.
not considered for estimation21. As per the International               Meanwhile, a decrease in cancer incidence rate was
Association of Cancer Registries/International Agency                   observed for the hypopharynx, oesophagus, stomach
for Research on Cancer (IARC) standards, the PBCRs’                     and cervix24-26. Alcohol use (30.1%) was the leading
quality indicators were followed and published in CI5                   attributable risk factor for pharyngeal cancer related
volumes4.                                                               Disability Adjusted Life Years (DALYs). Tobacco use
                                                                        and air pollution (43% each) were the attributable risk
    Mortality data were incomplete due to poor
                                                                        factors for lung cancer DALYs, whereas dietary factors
coverage of the Civil Registration System, and there
                                                                        (43.2%) were attributable to colorectal cancer27.
are certain limitations in getting cancer as the cause of
death. The collection of accurate mortality data has been                   Globally, half of the cancer burden was seen in
a big challenge and its quality varies across the PBCRs.                the 65+ age group, while it is one-third of cancer in</t>
  </si>
  <si>
    <t xml:space="preserve">606                                      INDIAN J MED RES, OCTOBER &amp; NOVEMBER 2022
India2. However, half of the estimated cancer burden                         Report from National Cancer Registry Programme, India.
is in the 40-64 yr age group in India. The childhood                         JCO Glob Oncol 2020; 6 : 1063-75.
cancer burden accounts for three per cent of boys and                   6.   Bray F, Parkin DM. Evaluation of data quality in the cancer
                                                                             registry: Principles and methods. Part I: Comparability,
1.8 per cent of girls in the age group of 0-14 yr. The                       validity and timeliness. Eur J Cancer 2009; 45 : 747-55.
rural population of India reported a lower childhood
                                                                        7.   Bray F, Ferlay J, Soerjomataram I, Siegel RL, Torre LA,
cancer incidence rate that could be attributed to                            Jemal A. Global cancer statistics 2018: GLOBOCAN
under-reporting28,29. A study on adolescent and young                        estimates of incidence and mortality worldwide for 36 cancers
adult cancers showed a significant increase in the                           in 185 countries. CA Cancer J Clin 2018; 68 : 394-424.
incidence among males observed over time30. The                         8.   ICMR-National Centre for Disease Informatics and Research
incidence of cancer cases is estimated to increase to                        (NCDIR). Report of National Cancer Registry Programme
                                                                             2020. Bengaluru (India). Available from: https://ncdirindia.
12.8 per cent in 2025 compared to 2020. A recent                             org/All_Reports/PBCR_Annexures/Default.aspx, accessed on
publication from NCRP projected the burden of cancer                         June 20, 2022.
to 29.8 million DALYs by 2025 in India31.                               9.   World Health Organization (WHO). International statistical
                                                                             classification of diseases and related health problems. Geneva
    In summary, the cancer incidence burden is                               (Switzerland): WHO; 1994.
continuing to increase in India. Among the top five
                                                                        10. Office of the Registrar General &amp; Census Commissioner,
cancers in females, breast cancer was found to be the                       India. Population Census 2011. Table C-14: Population in
highest, followed by three female genital organs cervix,                    Five-Year Age Group by Residence and Sex. New Delhi
ovary and corpus uteri. Among males, three sites; lung,                     (India); 2011. Available from: http://www.censusindia.gov.in,
                                                                            accessed on May 20, 2022.
mouth and tongue were limited with tobacco-related
cancers. A preventable measure needs to be taken                        11. Segi M. Cancer mortality for selected sites in 24 countries
                                                                            (1950-1957). Sendai, Japan: The Department of Public Health,
for reducing the future burden of cancer. The new                           Tohoku University School of Medicine; 1960.
estimates are helpful for cancer prevention and control                 12. Swaminathan R, Shanta V on Behalf of the TNCRP Study
activities through the intervention of early detection,                     Group. Cancer Incidence and Mortality (Year 2016), Incidence
risk reduction and management in India. Appropriate                         Trend (2012-2016) and Estimates (2017-2020) for Tamil Nadu
research is, however, needed to delve deeper into                           State. Tamil Nadu Cancer Registry Project, Chennai (India):
                                                                            Cancer Institute (W.I.A.); 2020.
the reasons of cancer burden and provide affordable
solutions.                                                              13. Takiar R, Shobana B. Cancer incidence rates and the problem
                                                                            of denominators – A new approach in Indian cancer registries.
Acknowledgment: The authors acknowledge the contribution                    Asian Pac J Cancer Prev 2009; 10 : 123-6.
of the Population-Based Cancer Registries under the National            14. Murthy NS, Juneja A, Sehgal A, Prabhakar AK, Luthra UK.
Cancer Registry Programme contributed data.                                 Cancer projection by the turn of century-Indian science.
                                                                            Indian J Cancer 1990; 27 : 74-82.
Financial support &amp; sponsorship: None.                                  15. Murthy NS, Chaudhry K, Rath GK. Burden of cancer and
                                                                            projections for 2016, Indian scenario: Gaps in the availability
Conflicts of Interest: None.                                                of radiotherapy treatment facilities. Asian Pac J Cancer Prev
                                                                            2008; 9 : 671-7.
                           References                                   16. Swaminathan R, Shanta V, Ferlay J, Balasubramanian S,
                                                                            Bray F, Sankaranarayanan R. Trends in cancer incidence
1.    Sung H, Ferlay J, Siegel RL, Laversanne M, Soerjomataram I,           in Chennai city (1982-2006) and statewide predictions of
      Jemal A, et al. Global cancer statistics 2020: GLOBOCAN               future burden in Tamil Nadu (2007-16). Natl Med J India
      estimates of incidence and mortality worldwide for 36 cancers         2011; 24 : 72-7.
      in 185 countries. CA Cancer J Clin 2021; 71 : 209-49.
                                                                        17. Takiar R, Nadayil D, Nandakumar A. Projections of number
2.    Ferlay J, Ervik M, Lam F, Colombet M, Mery L, Piñeros M,              of cancer cases in India (2010-2020) by cancer groups. Asian
      et al. Global cancer observatory: Cancer today. Lyon, France:         Pac J Cancer Prev 2010; 11 : 1045-9.
      International Agency for Research on Cancer; 2020. Available
                                                                        18. D’Souza NDR, Murthy NS, Aras RY. Projection of cancer
      from: https://gco.iarc.fr/today, accessed on August 5, 2022.
                                                                            incident cases for India till 2026. Asian Pac J Cancer Prev
3.    Siegel RL, Miller KD, Fuchs HE, Jemal A. Cancer statistics,           2013; 14 : 4379-86.
      2022. CA Cancer J Clin 2022; 72 : 7-33.
                                                                        19. Ferlay J, Colombet M, Soerjomataram I, Mathers C,
4.    Bray F, Colombet M, Mery L, Piñeros M, Znaor A, Zanetti R,            Parkin DM, Piñeros M, et al. Estimating the global cancer
      et al., editors. Cancer incidence in five continents volume XI.       incidence and mortality in 2018: GLOBOCAN sources and
      Lyon: International Agency for Research on Cancer Scientific          methods. Int J Cancer 2018; 144 : 1941-53.
      Publications; 2017.                                               20. Xia C, Dong X, Li H, Cao M, Sun D, He S, et al. Cancer
5.    Mathur P, Sathishkumar K, Chaturvedi M, Das P,                        statistics in China and United States, 2022: Profiles, trends,
      Sudarshan KL, Santhappan S, et al. Cancer statistics, 2020:           and determinants. Chin Med J (Engl) 2022; 135 : 584-90.</t>
  </si>
  <si>
    <t xml:space="preserve">SATHISHKUMAR et al: CANCER INCIDENCE ESTIMATES FOR 2022                                              607
21. Ranganathan P, Sengar M, Chinnaswamy G, Agrawal G,                   cancer in India under National Cancer Registry Programme:
    Arumugham R, Bhatt R, et al. Impact of COVID-19 on cancer            An age-period-cohort analysis. Cancer Epidemiol
    care in India: A cohort study. Lancet Oncol 2021; 22 : 970-6.        2021; 74 : 101982.
22. Bray F, Znaor A, Cueva P, Korir A, Swaminathan R,                27. India State-Level Disease Burden Initiative Cancer
    Ullrich A, et al. Planning and developing population-based           Collaborators. The burden of cancers and their variations
    cancer registration in low- or middle-income settings. Lyon          across the states of India: The global burden of disease study
    (France): International Agency for Research on Cancer;               1990-2016. Lancet Oncol 2018; 19 : 1289-306.
    2014.
                                                                     28. Swaminathan R, Sankaranarayanan R. Under-diagnosis and
23. Smith RD, Mallath MK. History of the growing burden of               under-ascertainment of cases may be the reasons for low
    cancer in India: From antiquity to the 21st century. J Glob          childhood cancer incidence in rural India. Cancer Epidemiol
    Oncol 2019; 5 : 1-15.
                                                                         2010; 34 : 107-8.
24. National Centre for Disease Informatics and Research. Time
                                                                     29. Arora RS. Why is the incidence of childhood cancer lower in
    trends in cancer incidence rates 1982-2010. Bengaluru (India):
    National Cancer Registry Programme, ICMR-NCDIR; 2013.                rural India? Cancer Epidemiol 2010; 34 : 105-6.
    Available from: https://www.ncdirindia.org/All_Reports/          30. Mathur P, Nath A, Sathish Kumar K. Adolescent and young
    TREND_REPORT_1982_2010/, accessed on June 20, 2022.                  adult cancers in India-Findings from the National Cancer
25. Nath A, Sathishkumar K, Das P, Sudarshan KL, Mathur P.               Registry Programme. Cancer Epidemiol 2022; 78 : 102124.
    A clinicoepidemiological profile of lung cancers in India        31. Kulothungan V, Sathishkumar K, Leburu S, Ramamoorthy T,
    – Results from the National Cancer Registry Programme.               Stephen S, Basavarajappa D, et al. Burden of cancers in India
    Indian J Med Res 2022; 155 : 264-72.                                 – Estimates of cancer crude incidence, YLLs, YLDs and
26. Sathishkumar K, Vinodh N, Badwe RA, Deo SVS,                         DALYs for 2021 and 2025 based on National Cancer Registry
    Manoharan N, Malik R, et al. Trends in breast and cervical           Program. BMC Cancer 2022; 22 : 527.
For correspondence: Dr Prashant Mathur, ICMR-National Centre for Disease Informatics &amp; Research, Indian Council of Medical
                    Research, Nirmal Bhawan, ICMR Complex, Poojanhalli Road, Off NH-7, Adjacent to Trumpet Flyover of KIAL,
                    Kannamangala Post Bengaluru 562 110, Karnataka, India
                    e-mail: director-ncdir@icmr.gov.in</t>
  </si>
  <si>
    <t xml:space="preserve">Supplementary Table I. State/region wise representation of Population‑Based Cancer Registry in India
Regions                      State/UT                                        PBCR representation
North                        Chandigarh                                      Pooled Rest of India
                             Delhi                                           Delhi
                             Haryana                                         Pooled Rest of India
                             Himachal Pradesh                                Pooled Rest of India
                             Jammu and Kashmir, Ladakh                       Pooled Rest of India
                             Punjab                                          Patiala
                             Uttarakand                                      Pooled Rest of India
North East                   Arunachal Pradesh                               Pooled (West Arunachal, Pasighat)
                             Assam                                           Pooled (Cachar, Kamrup, Dibrugarh)
                             Manipur                                         Manipur state
                             Meghalaya                                       Meghalaya
                             Mizoram                                         Mizoram state
                             Nagaland                                        Kohima, Dimapur
                             Sikkim                                          Sikkim state
                             Tripura                                         Tripura state
East                         Bihar                                           Pooled Rest of India
                             Jharkhand                                       Pooled Rest of India
                             Orissa                                          Pooled Rest of India
                             West Bengal                                     Pooled Rest of India
Central                      Chattisgarh                                     Pooled Rest of India
                             Madhya Pradesh                                  Pooled Rest of India
                             Rajasthan                                       Pooled Rest of India
                             Uttar Pradesh                                   Pooled Rest of India
West                         Dadra and Nagar Haveli                          Pooled Rest of India
                             Daman and Diu                                   Pooled Rest of India
                             Goa                                             Pooled Maharashtra
                             Gujarat                                         Pooled Rest of India
                             Maharashtra                                     Pooled Maharashtra
South                        Andhra Pradesh                                  Pooled South
                             Telangana                                       Pooled South
                             Andaman and Nicobar Islands                     Pooled South
                             Karnataka                                       Pooled South
                             Kerala                                          Pooled Thiruvananthapuram district, Kollam district
                             Lakshadweep                                     Pooled South
                             Puducherry                                      Chennai‑U, Dindigul‑R
                             Tamil Nadu                                      Chennai‑U, Dindigul‑R
Pooled south, PBCRs of Chennai, Bangalore, Thiruvanathapuram district, Kollam district, Hyderabad, Dindigul; Pooled Maharashtra,
All PBCRs from Maharashtra (Mumbai, Aurangabad, Nagpur, Pune, Wardha district, Barshi rural, Osmanabad and Beed); Pooled rest of
India, All PBCRs from other than north‑east region. U, urban; R, rural; PBCR, Population‑Based Cancer Registry</t>
  </si>
  <si>
    <t xml:space="preserve">Supplementary Table II. Differences in burden estimation methods for India by selected sources
  Characteristics    GLOBOCAN1,2                                        GBD27                                                                  NCRP
  Data sources       PBCRs (27) from the NCRP                           PBCRs (42) and Sample Registration                                     PBCRs (28) from the NCRP,
                     2012‑2014 and Dindigul,                            System, cause of death data from India.                                2020 report of 2012‑2016 and
                     Mansa, Sangrur PBCRs                               Cancer registry data were used as the                                  Dindigul PBCR incidence data
                     incidence data                                     gold standard
  Population         North East States, India’s rural                   Not mentioned                                                          State wise population
  estimates          and urban population derived                                                                                              estimation based on Census of
                     from United Nation and Census                                                                                             India, 2011
                     of India, 2011
  Exclusion          Hospital‑Based Cancer Registry                     Hospital‑Based Cancer Registry                                         Hospital‑Based Cancer Registry
  Method             Weighted average of the most                       Mortality estimates arrived by                                         Weighted average of the most
                     recent local rates applied to                      multiplying incidence with modelled                                    recent local rates (2012‑2016)
                     2020 population                                    mortality‑incidence ratio                                              applied to 2022 population
                                                                        The estimation of cancer incidence is
                                                                        based on registry data from India
  Cancer             Age specific incidence rate by                     Mortality data from vital registration                                 Age‑specific incidence rate by
  measure            site, sex and age                                  used as base to calculate the different                                site, sex and age
                                                                        measures
  Outcome            Incidence and rates for India                      Cancer mortality, incidence and DALY’s                                 Incidence and rates for India
                                                                        by State/India
  GLOBOCAN, Global Cancer Observatory; GBD, Global Burden of Disease; PBCR, Population‑Based Cancer Registry; NCRP,
  National Cancer Registry Programme; DALY, Disability‑Adjusted Life Years
                                                  2011                                                                      2022
                                                                                                                1.8       75+          2.2
                                       1.6       75+         1.8                                                1.7       70-74        1.8
                                       1.6       70-74       1.6
                                                                                                               2.4        65-69         2.5
                                      2.1        65-69        2.3
                                                                                                          3.4             60-64              3.6
                                     3.0         60-64          3.2
                                                                                                          3.7             55-59              3.9
                                    3.1          55-59          3.4
                                                                                                         4.6              50-54               4.5
                                   4.2           50-54           4.0
                                                                                                    5.6                   45-49                    5.7
                                 5.2             45-49              5.2
                                                                                                   6.4                    40-44                     6.7
                                6.0              40-44               6.0
                                                                                                  7.0                     35-39                          7.4
                              6.9                35-39                  7.2
                                                 30-34                  7.5                   7.3                         30-34                          7.6
                              7.2
                            8.3                  25-29                    8.6               8.7                           25-29                            8.6
                          9.3                    20-24                      9.2         9.8                               20-24                                9.6
                       10.3                      15-19                       9.7      10.4                                15-19                                 10.0
                      11.2                       10-14                         10.8   10.0                                10-14                                9.7
                       10.7                      5-9                          10.4          8.9                           5-9                             8.4
                          9.4                    0-4                        9.3              8.2                          0-4                            7.8
                        12 9 6 3             0           0    3  6     9     12        12     9    6    3             0            0   3   6     9               12
                           Males (%)                         Females (%)                       Males (%)                               Females (%)
Supplementary Figure. Population pyramids for proportion (%) of census 2011 and estimated 2022 by sex, age group in India.</t>
  </si>
  <si>
    <t xml:space="preserve">S2 - Maharashtra Fact Sheet 2021</t>
  </si>
  <si>
    <t xml:space="preserve">I
CMR-
   Na onalCent
             ref
               orDi
                  seas
                     eInf
                        orma csandRes
                                    ear
                                      ch
                     Profil
                          eof
                    Cancerand
                  Relat
                      edFact ors
                   -Mahar asht
                             ra
                         2021</t>
  </si>
  <si>
    <t xml:space="preserve">Maharashtra
                  Profile of Cancer and Related Factors
 Background
Non Communicable Diseases (NCDs) include cardiovascular disease (heart attack and stroke),
diabetes, cancer, and chronic respiratory diseases. In India, NCDs' are responsible for 63% of
the deaths, among which cancers account for 9% of deaths.[1] Cancer is a disease
characterized by uncontrolled growth of the body cells in any part, which can spread to other
parts of the body. The normal cells in the body are transformed into tumour cells, resulting
from an interaction between an individual's genetic factors and exposure to external agents
or 'carcinogens'. Many behavioural and environmental risk factors, such as tobacco use,
alcohol use, unhealthy diet, physical inactivity, obesity, infections, air pollution, are associated
with the risk of developing cancer. Close to half of the cancer deaths can be avoided by the
prevention and control of risk factors.[2]
In India, the National Cancer Registry Programme (NCRP) has systematically collected data on
cancer since 1981. The NCRP is implemented by National Centre for Disease Informatics and
Research (NCDIR) of the Indian Council of Medical Research at Bengaluru. Cancer data is
collected through a network of population-based cancer registries (PBCRs) and hospital-based
cancer registries (HBCRs).
The Cancer Fact Sheet presents the epidemiological profile and pattern of cancer in
Maharashtra, based on findings from the 'Report of National Cancer Registry Programme
2020' [3]. In addition, related information on the socio-demographic profile, health status
indicators and health infrastructure is also presented. These have a significant bearing on the
occurrence and outcome of cancer.
Methodology used in cancer profile description
The cancer statistics presented in Section I are described in terms of cancer incidence,
cumulative risk, leading sites of cancer and proportion of cancers in sites associated with
tobacco use. These indicators are based on data from 2012-16 and calculated for the
Population Based Cancer Registry areas (as shown in Section I). Cancer incidence and
cumulative risk are defined as-
   (i)     Cancer incidence
               Crude incidence rate: The number of new cancers per 100,000 persons
               Age adjusted incidence rate: The incidence rate a population would have if
                  that population had a standard age structure. It is expressed as the number
                  of new cancer cases per 100,000 population using world standard
                  population.
               Cancer incidence rates for childhood cancers are expressed as per million.
   (ii)    Cumulative risk : Cumulative risk (probability that an individual will be diagnosed
           with cancer [0 to 74 year old age group] in the absence of any competing cause of
           death and assuming that the current trends prevail over time).
1|Page</t>
  </si>
  <si>
    <t xml:space="preserve">The Clinical Extent of Disease at presentation (%) for cancers of selected anatomical sites has
           been calculated from the three HBCRs under the State. However, this may not be
           representative for the entire state.
           Projected incidence of cancer cases is given for the State for the year 2020 and 2025 according
           to gender using incidence data from the composite period of 2012-2016 was used as a
           reference. Estimated Age Specific Incidence Rates (ASpR) for the entire State is calculated (for
           the year 2020).
                                              I.      CANCER PROFILE
               A. DESCRIPTION OF THE NATIONAL CANCER REGISTRY PROGRAMME IN MAHARASHTRA
                 Establishment                                                             Area (in    Urban      Rural
   PBCRs                                  Location                Coverage Area
                      Year                                                                 Sq.km)       (%)        (%)
                                 Indian Cancer Society,     Aurangabad City
Aurangabad           1978                                                                    148        100.0       0.0
                                 Mumbai                     Agglomeration
Osmanabad                        Nargis Dutt Memorial       2 Districts - Osmanabad &amp;
                     1987                                                                   18262       18.7       81.3
&amp; Beed                           Cancer Hospital, Barshi    Beed
                                                            Rural Area of 3 Taluks
                                                            namely Barshi from
                                 Nargis Dutt Memorial
Barshi rural         1987                                   Solapur district and Bhum       3713         0.0      100.0
                                 Cancer Hospital, Barshi
                                                            &amp; Paranda from
                                                            Osmanabad district
                                                            Greater Mumbai /
                                 Indian Cancer Society,
Mumbai               1963                                   (Mumbai City &amp; Mumbai            603        100.0       0.0
                                 Mumbai
                                                            Suburban District)
                                 Indian Cancer Society,
Pune                 1972                                   Pune City Corporation            613        100.0       0.0
                                 Mumbai
                                 Mahatma Gandhi
Wardha
                     2010        Institute of Medical       Wardha District                 6309        32.5       67.5
District
                                 Sciences, Sevagram
                                 Indian Cancer Society,     Nagpur City
Nagpur               1980                                                                    237        100.0       0.0
                                 Mumbai                     Agglomeration
                                 R.S.T. Regional Cancer     Rural areas of Saoner and
Nagpur
                     2020        Hospital &amp; Research        Nagpur rural of Nagpur         1228.93       0.0      100.0
rural
                                 Centre,Nagpur              district
   Hospital Based Cancer Registry: Reports on the clinical profile of patients availing of care at a specific hospital
                                          Kokilaben Dhirubhai Ambani Hospital and Research Institute, Mumbai
                                          Kolhapur Cancer Centre, Kolhapur
                                          Pravara Institute of Medical Science, Loni
   Number of Hospitals: 5                 Rashtra Sant Tukdoji Regional Cancer Hospital and Research Centre,
                                           Nagpur
                                          Tata Memorial Hospital, Mumbai
           2|Page</t>
  </si>
  <si>
    <t xml:space="preserve">CANCER INCIDENCE AND RISK
         Average Annual number of Incidence and rates per 100,000 of all ages
          Age adjusted Incidence rates (AAR) of childhood cancers per million
3|Page</t>
  </si>
  <si>
    <t xml:space="preserve">Cumulative risk of developing cancer of any site in 0-74 years of age group
  B. Leading Cancer Sites
                             Five Leading Sites of Cancers
4|Page</t>
  </si>
  <si>
    <t xml:space="preserve">Proportion (%) of Cancer Sites associated with the use of tobacco
  C. Clinical Profile
   Clinical Extent of Disease at presentation for cancers of selected anatomical sites
                                         Males
                                        Females
5|Page</t>
  </si>
  <si>
    <t xml:space="preserve">D. Projected Incidence of cancer cases for 2025
              Estimated Age Specific Incidence Rates (All Sites -2020)
6|Page</t>
  </si>
  <si>
    <t xml:space="preserve">II.    CANCER RELATED INFORMATION
A. Socio-demographic profile [4]
    (a) Population
                                       Total                                11,23,74,333
                                       Males                                5,82,43,056
                                       Females                              5,41,31,277
                                       Gender Ratio                         929
    (b) Literacy Rate
                                       Total                                82.3 %
                                       Males                                88.4 %
                                       Females                              75.9 %
B. Health Indicators
    (a) Life Expectancy (2016)[5]
                                         Males                                 65.3 years
                                         Females                               69.3 years
    (b)   Proportion of total disease burden from NCDs'  [5]                   63.1 %
          Proportion of NCDs' Medically Certified Deaths –
    (c)                                                                        9.7 %
          Neoplasms[6]
    (d)   Prevalence of cancer related risk factors
          Prevalence of current tobacco use (smoking and/or smokeless)-in adults over 15
          years of age[7]
                                         Total                                 26.6 %
                                         Males                                 35.5 %
                                         Females                               17.0 %
          Prevalence of alcohol use in males and females (age 15-49 years) [8]
                                         Males                                 13.9 %
                                         Females                               0.4 %
          Proportion of consumption of dark green leafy vegetables at least once a week
          in males and females from 15 to 49 years of age [8]
                                         Males                                 89.9 %
                                         Females                               89.5 %
          Proportion of consumption of fruits at least once a week in males and females
          from 15 to 49 years of age [8]
                                         Males                                 52.6 %
                                         Females                               55.4 %
                 Proportion of households using clean fuel for                 79.7 %
                 cooking  [8]
                 Proportion of households reporting exposure to                26.6 %
                 second hand smoke [8]
          Proportion of overweight/obesity in males and females (age 15-49 years) [8]
                                         Males                                 24.7 %
                                         Females                               23.4 %
    (e)   Prevalence of other NCDs'  [8]
          Hypertension (age 15-49 years)
7|Page</t>
  </si>
  <si>
    <t xml:space="preserve">Males                              24.4 %
                                     Females                            23.1 %
          Raised random blood glucose level (age 15-49 years)
                                     Males                              13.6 %
                                     Females                            12.4 %
 C. Health Infrastructure
     (a) Government health facilities[9]
              Sub-centres + Health and Wellness Centres – Sub             10668
                Centres (HWC-SCs)
              Primary Health Centres + Health and Wellness                2366
                Centres - Primary Health Centres (HWC-PHCs)
              Community Health Centres                                    401
              District hospitals                                          23
     (b) Number of medical colleges  [10]                                  57
     (c) Regional / Tertiary Cancer Care Centres [11],[12]
          Tata Memorial Hospital, Mumbai (RCC*)
          Rashtrasant Tukdoji Regional Cancer Hospital &amp; Research Centre, Nagpur
             (RCC*/TCCC***)
          Government Medical College, Aurangabad (SCI**)
          Vivekanand Foundation &amp; Research Centre, Latur (TCCC***)
     (d) State Government Health Schemes[13]
          Integrated Mahatma Jyotiba Phule Jan Arogya Yojana (MJPJAY) and
             Ayushman Bharat-Pradhan Matri Jan Arogya Yojana (AB-PMJAY)– Covers
             Medical Oncology, Paediatric Cancer, Radiation and Surgical Oncology
*Regional Cancer Centre
**State Cancer Institute
***Tertiary Cancer Care Centre
8|Page</t>
  </si>
  <si>
    <t xml:space="preserve">References:
   1. WHO: World Health Statistics 2019: Monitoring Health for the SDGs. Geneva,
       Switzerland, World Health Organization, 2018
   2. WHO. Preventing cancer. Available on: https://www.who.int/activities/preventing-
       cancer.
   3. Report of National Cancer Registry Programme (ICMR-NCDIR), Bengaluru, India 2020.
       https://www.ncdirindia.org/All_Reports/Report_2020/default.aspx
   4. Census 2011. Office of the Registrar General &amp; Census Commissioner, India. Ministry
       of Home Affairs, Government of India.
   5. India: Health of the Nation's States — The India State-Level Disease Burden Initiative.
       New Delhi: ICMR, PHFI, and IHME; 2017.
   6. Office of the registrar general, India. Government of India, Report on medical
       certification of cause of death 2018
   7. Tata Institute of Social Sciences (TISS), Mumbai and Ministry of Health and Family
       Welfare, Government of India. Global Adult Tobacco Survey GATS 2 India 2016-17.
   8. International Institute for Population Sciences (IIPS) and ICF. National Family Health
       Survey (NFHS 5), State Factsheet- Maharashtra, 2019-20: India. Mumbai:IIPS
   9. International Institute for Population Sciences (IIPS) and ICF. 2017. National Family
       Health Survey (NFHS-4), 2015-16: India. Mumbai: IIPS.
   10. Government of India. Ministry of Health and Family Welfare. Statistics Division. Rural
       Health Statistics, 2018-19.
   11. National Medical Commission. (www.nmc.org.in)
   12. Press Information Bureau (https://pib.gov.in/PressReleasePage.aspx?PRID=1576623)
   13. National                   Cancer                 Control                 Programme
       (https://main.mohfw.gov.in/Organisation/Departments-of-Health-and-Family-
       Welfare/national-cancer-control-programme)
   14. Government of Maharashtra, Mahatma Jyotiba Phule Jan Arogya Yojana (MJPJAY)
       (www.jeevandayee.gov.in)
Suggested citation :
Profile of cancer and related factors: Maharashtra (ICMR-NCDIR), Bengaluru, India 2021
       Contact Information
       The Director,
       ICMR – National Centre for Disease Informatics and Research
       Nirmal Bhawan, ICMR Complex, Poojanhalli Road,
       Off NH-7, Adjacent to Trumpet Flyover of KIAL,
       Kannamangala Post, Bengaluru – 562 110, India.
       Tel: 080 – 2217 6400 | Email : director-ncdir@icmr.gov.in
              https://www.ncdirindia.org/        @ncdirindia
9|Page</t>
  </si>
  <si>
    <t xml:space="preserve">ICMR - National Centre for Disease Informatics and Research
              II Floor of Nirmal Bhawan, ICMR Complex
                      Poojanhalli Road, Off NH-7,
                  Adjacent to Trumpet Flyover of BIAL
           Kannamangala Post Bengaluru - 562 110. India.
     www.ncdirindia.org          @ncdirindia          ncdirindia</t>
  </si>
  <si>
    <t xml:space="preserve">S3 - Mathur et al. 2020, JCO Glob Oncol</t>
  </si>
  <si>
    <t xml:space="preserve">Cancer Statistics, 2020: Report From National
                                                                                                            original reports   Cancer Registry Programme, India
                                                                                                                               Prashant Mathur, DNB, PhD1; Krishnan Sathishkumar, MSc1; Meesha Chaturvedi, MBBS1; Priyanka Das, B-Level1;
                                                                                                                               Kondalli Lakshminarayana Sudarshan, MSc1; Stephen Santhappan, MSc, MPhil1; Vinodh Nallasamy, MSc, MPhil1; Anish John, BE1;
                                                                                                                               Sandeep Narasimhan, MSc1; and Francis Selvaraj Roselind, MSc1; on behalf of ICMR-NCDIR-NCRP Investigator Group
                                                                                                            abstract
                                                                                                                               PURPOSE The systematic collection of data on cancer is being performed by various population-based cancer
                                                                                                                               registries (PBCRs) and hospital-based cancer registries (HBCRs) across India under the National Cancer
                                                                                                                               Registry Programme–National Centre for Disease Informatics and Research of Indian Council of Medical
                                                                                                                               Research since 1982.
Downloaded from ascopubs.org by 106.192.54.167 on October 14, 2026 from 106.192.054.167
                                                                                                                               METHODS This study examined the cancer incidence, patterns, trends, projections, and mortality from
                                                                                                                               28 PBCRs and also the stage at presentation and type of treatment of patients with cancer from 58 HBCRs
      Copyright © 2026 American Society of Clinical Oncology. All rights reserved.
                                                                                                                               (N = 667,666) from the pooled analysis for the composite period 2012-2016. Time trends in cancer incidence
                                                                                                                               rate were generated as annual percent change from 16 PBCRs (those with a minimum of 10 years of
                                                                                                                               continuous good data available) using Joinpoint regression.
                                                                                                                               RESULTS Aizawl district (269.4) and Papumpare district (219.8) had the highest age-adjusted incidence rates
                                                                                                                               among males and females, respectively. The projected number of patients with cancer in India is 1,392,179 for
                                                                                                                               the year 2020, and the common 5 leading sites are breast, lung, mouth, cervix uteri, and tongue. Trends in
                                                                                                                               cancer incidence rate showed an increase in all sites of cancer in both sexes and were high in Kamrup urban
                                                                                                                               (annual percent change, 3.8%; P , .05). The majority of the patients with cancer were diagnosed at the locally
                                                                                                                               advanced stage for breast (57.0%), cervix uteri (60.0%), head and neck (66.6%), and stomach (50.8%) cancer,
                                                                                                                               whereas in lung cancer, distant metastasis was predominant among males (44.0%) and females (47.6%).
                                                                                                                               CONCLUSION This study provides a framework for assessing the status and trends of cancer in India. It shall
                                                                                                                               guide appropriate support for action to strengthen efforts to improve cancer prevention and control to achieve
                                                                                                                               the national noncommunicable disease targets and the sustainable development goals.
                                                                                                                               JCO Global Oncol 6:1063-1075. © 2020 by American Society of Clinical Oncology
                                                                                                                               Creative Commons Attribution Non-Commercial No Derivatives 4.0 License
                                                                                                                               INTRODUCTION                                                             patterns of cancer. Several NCRP reports on cancer
                                                                                                                               Globally, noncommunicable diseases (NCDs) accoun-                        from different registries across India have been
                                                                                                                               ted for 71% of total deaths. In India, NCDs were esti-                   published. 8-9
                                                                                                                               mated to account for 63% of all deaths, and cancer was                   PBCRs provide statistics on the occurrence and out-
                                                                                                                               one of the leading causes (9%).1 Cancer registries are                   come of cancer in a geographically deﬁned pop-
                                                                                          ASSOCIATED                           recognized as vital components of national cancer-                       ulation. They also provide the framework for assessing
                                                                                          CONTENT
                                                                                                                               control programs.2 Publications from developed and                       the control of cancer in the community. HBCRs are
                                                                                          Appendix
                                                                                                                               developing countries provide updated information on                      concerned with the recording of information on pa-
                                                                                          Data Supplement
                                                                                                                               cancer occurrence, trends, and projections.3-7 In India,                 tients with cancer seen in a particular hospital and are
                                                                                          Author affiliations
                                                                                                                               the systematic collection of data on cancer has been                     mainly used for reviewing clinical performance and the
                                                                                          and support
                                                                                                                               performed since 1982 by the population-based cancer
                                                                                          information (if                                                                                               hospital cancer program.10
                                                                                          applicable) appear at                registries (PBCRs) and hospital-based cancer registries
                                                                                          the end of this                      (HBCRs) under the National Cancer Registry Programme                     This article reports the cancer incidence, patterns, time
                                                                                          article.                             (NCRP)–National Centre for Disease Informatics and                       trends, and mortality from 28 PBCRs for the composite
                                                                                          Accepted on June 3,                  Research (NCDIR) of the Indian Council of Medical                        period 2012-2016 across India under ICMR-NCDIR-
                                                                                          2020 and published at                                                                                         NCRP. Also, it covers the stage at presentation and type of
                                                                                                                               Research (ICMR; ICMR-NCDIR-NCRP), Bengaluru
                                                                                          ascopubs.org/journal/
                                                                                          go on July 16, 2020:
                                                                                                                               (Appendix). NCRP commenced with the objective                            treatment received by patients with cancer from 58
                                                                                          DOI https://doi.org/10.              of generating reliable data on the magnitude and                         HBCRs for the period 2012-2016 in India under the
                                                                                          1200/GO.20.00122
                                                                                                                                                                                                                                                              1063</t>
  </si>
  <si>
    <t xml:space="preserve">Mathur et al
                                                                                             CONTEXT
                                                                                             Key Objective
                                                                                             This study reports the cancer incidence, patterns, trends, projections, cancer mortality, and clinical aspects of stage at
                                                                                                presentation and treatment for the period 2012-2016 from 28 population-based and 58 hospital-based cancer registries in
                                                                                                India under the network of the National Cancer Registry Programme.
                                                                                             Knowledge Generated
                                                                                             There is heterogeneity in cancer incidence (age-adjusted rate per 100,000: males: Osmanabad and Beed, 39.5 v Aizawl
                                                                                                district, 269.4; females: Osmanabad and Beed, 49.4 v Papumpare district, 219.8) and in patterns across India and a lower
                                                                                                proportion (, 33%) of early stage at presentation for common cancers. The projected incidence of patients with cancer for
                                                                                                the year 2020 in India in males is 679,421 and in females is 712,758.
                                                                                             Relevance
                                                                                             Results of this study will help in assessing the status and trends of cancer in India. This will assist local- and national-level
                                                                                                stakeholders to implement public health action to control cancer.
Downloaded from ascopubs.org by 106.192.54.167 on October 14, 2026 from 106.192.054.167
      Copyright © 2026 American Society of Clinical Oncology. All rights reserved.
                                                                                                     network of NCRP. Based on estimates from this period, the            generated as annual percent change (APC) and considered
                                                                                                     projection of patients with cancer in India for the year 2020 is     statistically signiﬁcant (at P , .05) from 16 PBCRs (with
                                                                                                     also included.                                                       minimum of 10 years of data) using the Joinpoint regression
                                                                                                                                                                          program, 4.0.1 (National Cancer Institute).15 The years of
                                                                                                     METHODS                                                              data for trend analysis varied (11 to 35 years) across the
                                                                                                     Presently, there are 36 PBCRs and 236 HBCRs registered               PBCRs, and there were 6 PBCRs with more than 25 years
                                                                                                     under the ICMR-NCDIR-NCRP. However, this article in-                 of continuous data.
                                                                                                     cludes data from 28 PBCRs and 58 HBCRs, which were
                                                                                                                                                                          The country was categorized into 6 geographic zones based
                                                                                                     complete with at least 1 year of good-quality data. All
                                                                                                                                                                          on the location of the PBCRs: North (Delhi, Patiala), South
                                                                                                     neoplasms with a behavior code of 3 as deﬁned by the
                                                                                                                                                                          (Hyderabad, Kollam, Thiruvananthapuram, Bangalore, and
                                                                                                     International Classiﬁcation of Diseases for Oncology, 3rd
                                                                                                                                                                          Chennai), East (Kolkata), West (Ahmedabad urban, Aur-
                                                                                                     Edition, and the International Statistical Classiﬁcation of
                                                                                                                                                                          angabad, Osmanabad and Beed, Barshi rural, Mumbai,
                                                                                                     Diseases and Related Health Problems (10th revision; ICD-
                                                                                                                                                                          and Pune), Central (Wardha, Bhopal, and Nagpur) and
                                                                                                     10) were considered reportable and therefore registered in
                                                                                                     NCRP.11 Cancer registration is a complex process. In India,          Northeast (NE; Manipur, Mizoram, Sikkim, Tripura, West
                                                                                                     cancer registration is active wherein trained registry staff go      Arunachal, Meghalaya, Nagaland, Pasighat, Cachar, Dibrugarh,
                                                                                                     to different sources (hospitals, diagnostic laboratories, vital      and Kamrup urban). Population denominators were de-
                                                                                                     statistics departments) for collection of data on a stan-            rived from the Census of India, conducted by the Regis-
                                                                                                     dardized core form.10 This is followed by quality control            trar General and Census Commissioner of India under
                                                                                                     checks, duplicate checks, matching with mortality cases,             the Ministry of Home Affairs, Government of India.16 The
                                                                                                     follow-up of death certiﬁcate notiﬁcations, and assigning            census populations of 2001 and 2011 were used to cal-
                                                                                                     death certiﬁcate only (DCO). Patients with cancer who were           culate the postcensal population estimates for the years
                                                                                                     residents in the registration area for a minimum period of           2012 and 2016 by 5-year age groups and sex. For time
                                                                                                     1 year before the date of diagnosis were included in the             trend analysis, the respective 1981, 1991, 2001, and 2011
                                                                                                     registry. Multiple cancer data sources were followed for             censuses were taken as the base to estimate inter- or
                                                                                                     data collection.10 Quality of the data was maintained per            postcensal population by 5-year age groups and sex.17
                                                                                                     International Association of Cancer Registries/International         A standardized patient information form for HBCRs un-
                                                                                                     Agency for Research on Cancer (IACR/IARC) norms.12,13                der NCRP and the data collection methods have been
                                                                                                     Incidence and mortality data were retrieved from 28 PBCRs            explained previously.18 Newly diagnosed and treated pa-
                                                                                                     (urban or rural, or both) for the period 2012-2016. Cancer           tients with cancer (N = 667,666) from 58 HBCRs (with
                                                                                                     burden measures were calculated as crude rate, age-                  a minimum of 1 year of a complete dataset) in 2012-2016
                                                                                                     adjusted rate (AAR) per 100,000 population using world               were pooled and are presented as the relative proportion
                                                                                                     standard population,14 and cumulative risk (probability that         of clinical stage and treatment. The stage/clinical extent
                                                                                                     an individual will be diagnosed with cancer [0- to 74-year-          of disease before treatment (excludes previously treated
                                                                                                     old age group] in the absence of any competing cause of              patients with cancer) was classiﬁed into localized only,
                                                                                                     death and assuming that the current trends prevail over the          locoregional, distant metastasis, and unknown. 19 The
                                                                                                     time period). Time trends in cancer incidence rate were              completion of planned cancer-directed treatment after
                                                                                          1064 © 2020 by American Society of Clinical Oncology</t>
  </si>
  <si>
    <t xml:space="preserve">Cancer Pattern and Burden in India Under NCRP
                                                                                                      TABLE 1. Annual Average No. of Patients for All Sites of Cancer With Incidence Rate per 100,000, Cumulative Risk (0-74 age group) and
                                                                                                      Mortality Rate by Sex and Reporting Year for 28 PBCRs Under NCRP
                                                                                                                                                                                 Males                                         Females
                                                                                                                                                                         Incidence                 Mortality            Incidence                Mortality
                                                                                                                                                                                         Cum                                           Cum
                                                                                                       Serial No.       Registry (period of reference)         No.      CR      AAR      Risk       AAMR        No.    CR     AAR      Risk       AAMR
                                                                                                                                                                              North
                                                                                                       1            Delhi (2012-14)                          10,344 112.3 147.0          1 in 6      22.2      9,688 119.6 141.0      1 in 7        17.8
                                                                                                       2            Patiala district (2012-16)                1,079 101.6 108.2          1 in 9      32.7      1,215 127.7 124.6      1 in 8        30.1
                                                                                                                                                                              South
                                                                                                       3            Hyderabad district (2014-16)              1,714    84.2 101.6        1 in 9      15.5      2,151 109.8 136.0      1 in 7        12.5
                                                                                                       4            Kollam district (2012-16)                 1,986 159.4 127.7          1 in 7      66.5      1,956 139.1 107.1      1 in 9        38.3
                                                                                                       5            Thiruvananthapuram district (2012-        2,701 170.4 137.8          1 in 7      57.7      2,865 164.8 127.3      1 in 8        39.5
                                                                                                                      16)
                                                                                                       6            Bangalore (2012-14)                       4,407    96.8 122.1        1 in 7      42.6      5,276 125.1 146.8      1 in 6        41.5
Downloaded from ascopubs.org by 106.192.54.167 on October 14, 2026 from 106.192.054.167
                                                                                                       7            Chennai (2012-16)                         2,894 121.8 119.9          1 in 8      35.7      3,361 141.4 132.8      1 in 7        28.8
                                                                                                                                                                               East
      Copyright © 2026 American Society of Clinical Oncology. All rights reserved.
                                                                                                       8            Kolkata (2012-15)                         2,547 109.9        91.2    1 in 10     37.9      2,288 105.9    89.2    1 in 11       32.1
                                                                                                                                                                               West
                                                                                                       9            Ahmedabad urban (2012-16)                 2,916    89.1      98.3    1 in 9      27.0      2,205   74.7   76.7    1 in 12       16.9
                                                                                                       10           Aurangabad (2012-16)                        385    56.6      70.9    1 in 13     13.5       400    62.9   75.1    1 in 12         8.5
                                                                                                       11           Osmanabad and Beed (2012-15)                909    39.3      39.5    1 in 23     10.3      1,117   52.8   49.4    1 in 19       10.4
                                                                                                       12           Barshi Rural (2012-16)                      145    53.9      50.6    1 in 17     35.0       163    67.2   61.0    1 in 15       36.1
                                                                                                       13           Mumbai (2012-15)                          6,564    97.3 108.4        1 in 9      66.0      6,865 117.6 116.2      1 in 8        61.4
                                                                                                       14           Pune (2012-16)                            1,937    67.5      83.0    1 in 11     35.3      2,164   83.3   94.0    1 in 10       35.3
                                                                                                                                                                              Central
                                                                                                       15           Wardha district (2012-16)                   478    70.4      64.5    1 in 14     42.3       507    78.7   69.9    1 in 14       37.1
                                                                                                       16           Bhopal (2012-15)                            892    83.3 101.0        1 in 9      38.3       897    90.4 106.9     1 in 8        30.9
                                                                                                       17           Nagpur (2012-16)                          1,190    89.0      91.1    1 in 10     21.3      1,209   93.1   89.8    1 in 11       17.7
                                                                                                                                                                             Northeast
                                                                                                       18           Manipur state (2012-16)                     740    47.0      62.8    1 in 14     20.5       900    57.8   71.1    1 in 12       17.3
                                                                                                                      Imphal West District (2012-16)            227    85.1      95.3    1 in 9      29.6       300 107.9 110.9       1 in 8        24.3
                                                                                                       19           Mizoram state (2012-16)                     865 146.1 207.0          1 in 5     121.4       747 127.5 172.3       1 in 5        76.4
                                                                                                                      Aizawl district (2012-16)                 436 206.2 269.4          1 in 4     152.7       380 174.6 214.1       1 in 5        89.5
                                                                                                       20           Sikkim state (2012-16)                      234    69.9      88.7    1 in 10     46.4       226    75.3   97.0    1 in 10       46.2
                                                                                                       21           Tripura state (2012-16)                   1,312    67.0      80.9    1 in 11     46.0       983    52.0   58.3    1 in 16       28.9
                                                                                                       22           West Arunachal (2012-16)                    244    56.6 101.1        1 in 8      27.3       234    56.3   96.3    1 in 10       18.9
                                                                                                                      Papumpare district (2012-16)               94    94.8 201.2        1 in 4      56.5       106 105.1 219.8       1 in 4        37.9
                                                                                                       23           Meghalaya (2012-16)                         938    92.6 176.8        1 in 5      71.7       566    55.7   96.5    1 in 9        38.1
                                                                                                                      East Khasi Hills (2012-16)                577 131.0 227.9          1 in 4      95.0       346    76.9 118.6     1 in 8        51.5
                                                                                                       24           Nagaland (2012-16)                          281    74.5 124.5        1 in 7      27.8       198    56.3   88.2    1 in 10       11.1
                                                                                                       25           Pasighat (2012-16)                           64    90.7 120.4        1 in 7      30.9        61    88.1 116.2     1 in 8        22.0
                                                                                                       26           Cachar district (2012-16)                   933    99.2 129.0        1 in 7      25.2       789    87.0 104.8     1 in 9        17.5
                                                                                                       27           Dibrugarh district (2012-16)                507    72.5      91.9    1 in 9      24.0       448    66.0   76.8    1 in 12       14.1
                                                                                                       28           Kamrup urban (2012-16)                    1,245 190.5 213.0          1 in 4      66.7       958 150.8 169.6       1 in 6        37.3
                                                                                                         NOTE. Reporting year data given in parentheses; Meghalaya covers East Khasi Hills, West Khasi Hills, Jaintia Hills, and Ri Bhoi districts;
                                                                                                      Nagaland covers Kohima and Dimapur districts; Pasighat covers East Siang and Upper Siang; West Arunachal covers Tawang, West Kameng,
                                                                                                      East Kameng, Upper Subansiri, Lower Subansiri, Kurng Kumey, Papumpare, and West Siang districts.
                                                                                                         Abbreviations: AAMR, age-adjusted mortality rate per 100,000; AAR, age-adjusted rate per 100,000; CR, crude rate per 100,000; cum risk, cumulative
                                                                                                      risk of developing any site of cancer 0-74 years of age; NCRP, National Cancer Registry Program; PBCR, population-based cancer registry.
                                                                                          JCO Global Oncology                                                                                                                                        1065</t>
  </si>
  <si>
    <t xml:space="preserve">Mathur et al
                                                                                                                                               Males                                                                                 Females
                                                                                                    Aizawl district                                                      269.4 (206.2)    Papumpare district                                             219.8 (105.1)
                                                                                           East Khasi Hills district                                             227.9 (131.0)                  Aizawl district                                         214.1 (174.6)
                                                                                                   Kamrup urban                                               213.0 (190.5)                     Mizoram state                                   172.3 (127.5)
                                                                                                    Mizoram state                                            207.0 (146.1)                     Kamrup urban                                     169.6 (150.8)
                                                                                              Papumpare district                                           201.2 (94.8)                             Bangalore                              146.8 (125.1)
                                                                                                       Meghalaya                                       176.8 (92.6)                                       Delhi                           141.0 (119.6)
                                                                                                              Delhi                              147.0 (112.3)                             Hyderabad district                            136.0 (109.8)
                                                                                                Thi'puram district                             137.8 (170.4)                                          Chennai                           132.8 (141.4)
                                                                                                   Cachar district                            129.0 (99.2)                                  Thi'puram district                         127.3 (164.8)
                                                                                                   Kollam district                           127.7 (159.4)                                      Patiala district                      124.6 (127.7)
                                                                                                         Nagaland                            124.5 (74.5)                              East Khasi Hills district                     118.6 (76.9)
                                                                                                        Bangalore                           122.1 (96.8)                                              Mumbai                         116.2 (117.6)
                                                                                                          Pasighat                          120.4 (90.7)                                              Pasighat                       116.2 (88.1)
                                                                                                          Chennai                           119.9 (121.8)                                Imphal West district                       110.9 (107.9)
                                                                                                          Mumbai                         108.4 (97.3)                                          Kollam district                     107.1 (139.1)
                                                                                                    Patiala district                     108.2 (101.6)                                                  Bhopal                     106.9 (90.4)
                                                                                               Hyderabad district                       101.6 (84.2)                                           Cachar district                    104.8 (87.0)
                                                                                                 West Arunachal                         101.1 (56.6)                                              Sikkim state                  97.0 (75.3)
                                                                                                            Bhopal                      101.0 (83.3)                                               Meghalaya                    96.5 (55.7)
                                                                                               Ahmedabad urban                         98.3 (89.1)                                           West Arunachal                     96.3 (56.3)
                                                                                             Imphal West district                      95.3 (85.1)                                                        Pune                  94.0 (83.3)
                                                                                                Dibrugarh district                                                                                     Nagpur
Downloaded from ascopubs.org by 106.192.54.167 on October 14, 2026 from 106.192.054.167
                                                                                                                                      91.9 (72.5)                                                                              89.8 (93.1)
                                                                                                           Kolkata                   91.2 (109.9)                                                      Kolkata                 89.2 (105.9)
                                                                                                           Nagpur                    91.1 (89.0)                                                     Nagaland                 88.2 (56.3)
                                                                                                      Sikkim state                   88.7 (69.9)                                            Dibrugarh district              76.8 (66.0)
      Copyright © 2026 American Society of Clinical Oncology. All rights reserved.
                                                                                                              Pune                  83.0 (67.5)                                            Ahmedabad urban                  76.7 (74.7)
                                                                                                     Tripura state                 80.9 (67.0)                                                   Aurangabad                 75.1 (62.9)
                                                                                                     Aurangabad                  70.9 (56.6)                                                    Manipur state              71.1 (57.8)
                                                                                                  Wardha district               64.5 (70.4)                                                   Wardha district              69.9 (78.7)
                                                                                                    Manipur state              62.8 (47.0)                                                        Barshi rural           61.0 (67.2)
                                                                                                      Barshi rural           50.6 (53.9)                                                         Tripura state          58.3 (52.0)
                                                                                             Osmanabad &amp; Beed              39.5 (39.3)                                                   Osmanabad &amp; Beed              49.4 (52.8)
                                                                                                                       0           100                200                300                                       0         100                 200                300
                                                                                                                                         Rate per 100,000                                                                      Rate per 100,000
                                                                                                                                                        North         South         East       West         Central     Northeast
                                                                                          FIG 1. Comparison of all cancer sites’ age-adjusted incidence rates (AARs) of all population-based cancer registries, 2012-2016 (International Statistical
                                                                                          Classiﬁcation of Diseases and Related Health Problems, 10th revision: C00-C97). AARs are in blue and crude rates are given in parentheses in red. Thi’puram
                                                                                          district, Thiruvananthapuram district.
                                                                                                      diagnosis was classiﬁed as surgery, radiotherapy, systemic                           that Aizawl district had the highest AAR (269.4) and
                                                                                                      therapy, and multimodality (combination of surgery and/or                            mortality (152.7) rate among males. One of every 4 males in
                                                                                                      radiotherapy and/or systemic therapy).                                               Aizawl district, Papumpare district, East Khasi Hills district,
                                                                                                      Good-quality data indices of microscopic veriﬁcation (MV                             and Kamrup urban are likely to develop cancer in the age
                                                                                                      %) above 75%, DCO% below 20%, other and unspeciﬁed                                   group of 0-74 years. One of every 4 females in the Pap-
                                                                                                      sites (O&amp;U%) below 15%, and mortality-to-incidence ratio                             umpare district and 1 of 5 females in Mizoram state are
                                                                                                      (M:I%) were calculated for each PBCR and accordingly                                 likely to develop cancer in the age group of 0-74 years.
                                                                                                      classiﬁed.12,13 NCRP has developed in-house software                                 On comparison of AARs for all sites of cancer (ICD10: C00-
                                                                                                      (PBCR and HBCR Data Management) for data capture,                                    C97) across the population among males, Aizawl district
                                                                                                      quality checks, duplicates checks (deterministic and                                 (269.4) had the highest AAR and was approximately twice
                                                                                                      phonetic-similar sounding duplicate names), and mortality-                           the AAR of Delhi PBCR (147.0). East Khasi Hills district of
                                                                                                      incidence matching. The list of errors was sent back to                              Meghalaya (227.9) had the second highest AAR, followed
                                                                                                      registries for clariﬁcations and corrected at each level.                            by Kamrup urban (213.0) and Mizoram PBCR (207.0).
                                                                                                      Incidence data for 2012-2016 was used as a reference for                             Among females, Papumpare district (219.8) had the
                                                                                                      projection of patients with cancer in India until 2020 by sex
                                                                                                                                                                                           highest AAR. In the rest of the regions (excluding NE), Delhi
                                                                                                      and anatomic site (see Data Supplement for more details).
                                                                                                                                                                                           had highest AAR (147.0), followed by Thiruvanathapuram
                                                                                                      RESULTS                                                                              district (137.8) among males; Bangalore (146.8) had
                                                                                                                                                                                           highest AAR, followed by Delhi (141.0) among females
                                                                                                      Average annual number of patients for all sites of cancer
                                                                                                                                                                                           (Fig 1).
                                                                                                      with incidence rate, cumulative risk by sex, and mortality
                                                                                                      rate according to different regions in India between 2012                            East Khasi Hills district of Meghalaya had the highest rel-
                                                                                                      and 2016 are given in Table 1. PBCRs in the NE showed                                ative proportion of cancers associated with the use of to-
                                                                                                      the highest incidence rate in both sexes. It was observed                            bacco, with 70.4% and 46.5% for males and females,
                                                                                          1066 © 2020 by American Society of Clinical Oncology</t>
  </si>
  <si>
    <t xml:space="preserve">Cancer Pattern and Burden in India Under NCRP
                                                                                                                                                                                  North
                                                                                                                     (46.3, 62.1)                       41.2                      Delhi           12.4                    (18.5,14.8)
                                                                                                                     (36.9, 39.9)                            36.4            Patiala district     13.1                    (16.6,16.8)
                                                                                                                                                                                  South
                                                                                                                     (67.7, 52.9)                      42.5                  Kollam district      12.4                    (12.4,17.2)
                                                                                                                     (35.6, 42.6)                      42.2                Hyderabad district     13.5                    (19.1,14.8)
                                                                                                                     (49.5, 47.6)                       40.6                    Chennai           13.6                    (18.1,19.2)
                                                                                                                     (62.0, 49.0)                            36.1           Thi'puram district    10.1                    (12.5,16.8)
                                                                                                                     (29.7, 38.7)                             33.4             Bangalore           14.2                   (20.1,16.3)
                                                                                                                                                                                   East
                                                                                                                     (51.3, 42.3)                  46.7                          Kolkata           15.4                   (13.7,16.3)
                                                                                                                                                                                  West
                                                                                                                     (50.0, 54.3)              56.1                        Ahmedabad urban          18.6                  (14.5,13.9)
                                                                                                                     (31.6, 40.0)              55.8                           Aurangabad           16.3                   (12.7,10.2)
                                                                                                                     (16.1, 16.5)                       41.0               Osmanabad &amp; Beed       12.7                      (6.1, 6.7)
Downloaded from ascopubs.org by 106.192.54.167 on October 14, 2026 from 106.192.054.167
                                                                                                                     (26.4, 32.5)                        39.1                     Pune             15.2                   (14.6,12.7)
                                                                                                                     (37.7, 41.8)                        38.7                   Mumbai             15.6                   (18.2,18.4)
      Copyright © 2026 American Society of Clinical Oncology. All rights reserved.
                                                                                                                     (18.5, 17.3)                             34.3             Barshi rural        14.9                    (8.6,10.0)
                                                                                                                                                                                 Central
                                                                                                                     (45.8, 55.3)              54.9                              Bhopal             17.7                  (19.6,16.0)
                                                                                                                     (41.1, 41.5)                     46.2                       Nagpur             17.3                  (15.8,16.1)
                                                                                                                     (29.9, 27.0)                      42.4                  Wardha district        18.6                  (12.7, 14.6)
                                                                                                                                                                               Northeast
                                                                                                                                                                             East Khasi Hills
                                                                                                                     (92.2,161.3)      70.4                                                                        46.5   (58.1, 35.8)
                                                                                                                                                                                  district
                                                                                                                     (61.9, 119.7)      66.9                                   Meghalaya                         43.1     (44.6, 24.0)
                                                                                                                     (53.6, 71.3)               54.0                         Cachar district             23.4             (26.9, 20.4)
                                                                                                                     (34.9, 43.2)               52.1                          Tripura state          21.1                 (13.0, 11.0)
                                                                                                                     (37.6, 48.9)                51.8                       Dibrugarh district           21.8             (18.2, 14.4)
                                                                                                                     (98.2, 110.2)               51.6                        Kamrup urban                23.5             (43.2, 35.4)
                                                                                                                     (97.3, 127.1)                 47.2                       Aizawl district             24.4            (56.9, 42.6)
                                                                                                                     (63.2, 89.3)                      43.3                  Mizoram state               22.1             (42.3, 28.1)
                                                                                                                     (29.3, 51.1)                        39.3                   Nagaland          11.5                     (12.5, 6.5)
                                                                                                                     (31.7, 36.8)                            37.3          Imphal West district      19.1                 (22.2, 20.6)
                                                                                                                     (17.3, 24.7)                            36.8             Manipur state          19.5                 (15.8, 11.3)
                                                                                                                     (22.9, 29.5)                             32.8             Sikkim state         18.2                  (19.2, 13.7)
                                                                                                                     (28.9, 67.7)                              30.5        Papumpare district      14.4                   (43.6, 15.1)
                                                                                                                     (26.3, 36.1)                               29.0            Pasighat          10.9                     (14.5, 9.6)
                                                                                                                     (13.9, 26.6)                                   24.5    West Arunachal        11.1                     (13.7, 6.3)
                                                                                                                                                             Males (%)                               Females (%)
                                                                                                                   FIG 2. Sites of cancer associated with the use of tobacco (%), 2012-2016. Crude rate in red and age-adjusted
                                                                                                                   rates in blue are given in parentheses. Sites of cancer associated with the use of tobacco, anatomic sites
                                                                                                                   (International Statistical Classiﬁcation of Diseases and Related Health Problems, 10th revision codes), lip (C00);
                                                                                                                   tongue (C01-C02); mouth (C03-C06); pharynx (C10 and C12-C14); esophagus (C15); larynx (C32); lung (C33-
                                                                                                                   C34); urinary bladder (C67).33 Thi’puram district, Thiruvananthapuram district.
                                                                                                      respectively. The higher proportion of cancers associated                  most common sites across the PBCRs. Thyroid cancer was
                                                                                                      with use of tobacco was in the NE states, followed by                      the second most common cancer in the PBCRs of Thir-
                                                                                                      registries in the West and Central regions (Fig 2).                        uvananthapuram and Kollam, whereas lung cancer was
                                                                                                      Among males, lung, mouth, esophagus, and stomach were                      seen in Manipur and Mizoram state. In the NE region, the
                                                                                                      the most common cancer sites. Among females, breast                        third most common cancers were stomach and gallbladder
                                                                                                      cancer, followed by cervix uteri and ovary cancer, were the                (Data Supplement). The decadal changes in leading sites of
                                                                                          JCO Global Oncology                                                                                                                            1067</t>
  </si>
  <si>
    <t xml:space="preserve">Mathur et al
                                                                                                                                                         Breast (Female)                                                          Cervix Uteri
                                                                                                                                                                                                                                 60.0
                                                                                                                     Proportion (%)
                                                                                                                                                                                            Proportion (%)
                                                                                                                                                          57.0
                                                                                                                                      60                                                                     60
                                                                                                                                      40      29.0
                                                                                                                                                                                                             40      32.8
                                                                                                                                      20                             10.3                                    20
                                                                                                                                                                                3.7                                                          5.1      2.2
                                                                                                                                       0                                                                      0
                                                                                                                                           Localized      Loco      Distant  Unknown                              Localized      Loco      Distant  Unknown
                                                                                                                                             only       regional   metastasis extent                                only       regional   metastasis extent
                                                                                                                                                     Head &amp; Neck (both sexes)                                                 Stomach (both sexes)
                                                                                                                                                          66.6
                                                                                                                     Proportion (%)
                                                                                                                                                                                            Proportion (%)
                                                                                                                                      60                                                                     60                  50.8
                                                                                                                                      40                                                                     40
                                                                                                                                              25.2                                                                                          24.7
                                                                                                                                                                                                                     18.7
                                                                                                                                      20                                                                     20
                                                                                                                                                                      4.8       3.4                                                                   5.8
                                                                                                                                       0                                                                      0
                                                                                                                                           Localized      Loco      Distant  Unknown                              Localized      Loco      Distant  Unknown
Downloaded from ascopubs.org by 106.192.54.167 on October 14, 2026 from 106.192.054.167
                                                                                                                                             only       regional   metastasis extent                                only       regional   metastasis extent
                                                                                                                                                           Lung (male)                                                           Lung (female)
      Copyright © 2026 American Society of Clinical Oncology. All rights reserved.
                                                                                                                     Proportion (%)
                                                                                                                                                                                            Proportion (%)
                                                                                                                                      60                                                                     60
                                                                                                                                                                     44.0                                                                   47.6
                                                                                                                                                          37.0
                                                                                                                                      40                                                                     40                  29.8
                                                                                                                                              13.9                                                                   17.0
                                                                                                                                      20                                                                     20
                                                                                                                                                                                5.1                                                                   5.6
                                                                                                                                       0                                                                      0
                                                                                                                                           Localized      Loco      Distant  Unknown                              Localized      Loco      Distant  Unknown
                                                                                                                                             only       regional   metastasis extent                                only       regional   metastasis extent
                                                                                                                  FIG 3. Relative proportion (%) of patients according to clinical extent of disease, 2012-2016 (proportion [%] may not
                                                                                                                  total 100% because of rounding).
                                                                                                     cancer from 6 older PBCRs (Barshi rural, Bangalore,                                    decrease in the incidence rate of cervical cancer in 10
                                                                                                     Bhopal, Chennai, Delhi, and Mumbai) were observed for                                  PBCRs, except in Dibrugarh district and Pune. Lung cancer
                                                                                                     the ﬁrst 10 and last 10 years of data (Data Supplement).                               showed a signiﬁcant increase in 11 PBCRs among females
                                                                                                                                                                                            (Fig 4).
                                                                                                     The relative proportion of patients according to clinical
                                                                                                     extent of disease at the time of diagnosis as seen in the                              Among 28 PBCRs, MV%, ranged between 77% (Patiala)
                                                                                                     pooled data of 58 HBCRs for common sites of cancer                                     and 96.7% (Hyderabad); DCO% ranged between , 0.05%
                                                                                                     showed that the majority of patients with cancer were di-                              (Osmanabad and Beed) and 19.4% (Patiala); O&amp;U%
                                                                                                     agnosed as locally advanced/locoregional for breast                                    ranged between 1.8% (Hyderabad) and 13.0% (Patiala).
                                                                                                     (57.0%), cervix uteri (60.0%), head and neck (66.6%), and                              M:I% was high in Barshi rural (67.2%) followed by Wardha
                                                                                                     stomach (50.8%) cancer. The majority of patients with lung                             (59.2%) and Mumbai (56.0%; Data Supplement).
                                                                                                     cancer were diagnosed with distant metastasis in males                                 The projected incidence of patients with cancer in India
                                                                                                     (44.0%) and females (47.6%; Fig 3). The relative pro-                                  among males was 679,421 (94.1 per 100,000) and among
                                                                                                     portion of types of cancer-directed treatment received (only                           females 712,758 (103.6 per 100,000) for the year 2020.
                                                                                                     at the reporting hospital) according to clinical extent of                             One in 68 males (lung cancer), 1 in 29 females (breast
                                                                                                     disease before treatment showed that multimodality was                                 cancer), and 1 in 9 Indians will develop cancer during their
                                                                                                     the ﬁrst choice of treatment (locoregional, 79.5%; localized,                          lifetime (0-74 years of age; Table 2). The projected 5 most
                                                                                                     74.4%; distant metastasis, 47.6%; Data Supplement).                                    common cancers in 2020 for males (lung, mouth, prostate,
                                                                                                                                                                                            tongue, and stomach) constitute 36% of all cancers and for
                                                                                                     The estimated APC in cancer AAR for selected anatomic                                  females (breast, cervix uteri, ovary, corpus uteri, and lung)
                                                                                                     sites of cancer over the time period showed an increase in                             constitute 53% of all cancers (Data Supplement).
                                                                                                     the incidence rate of all sites of cancer (12 PBCRs in males
                                                                                                     and 13 PBCRs in females). There was a signiﬁcant increase                              DISCUSSION
                                                                                                     in the incidence rate of breast cancer across all PBCRs over                           India exhibits heterogeneity in cancer. The incidence rates
                                                                                                     the years, except in Nagpur PBCR. There was a signiﬁcant                               of Aizawl district were observed to be 7 times and 4 times
                                                                                          1068 © 2020 by American Society of Clinical Oncology</t>
  </si>
  <si>
    <t xml:space="preserve">Cancer Pattern and Burden in India Under NCRP
                                                                                                                     All Sites (males)                                             Breast (females)                                         Head &amp; Neck (males)                                                       Lung (males)                                                  Stomach (males)
                                                                                                Kamrup urban                                  3.8*          Aurangabad                                   6.8*               Aurangabad                                         4.4*        Kamrup urban                                       4.2*              Kamrup urban                                    6.5*
                                                                                              Thi'puram taluk                               3.2*            Sikkim state                              5.8*                       Nagpur                          1.7                       Kollam district                                 3.4*                   Sikkim state                               2.4*
                                                                                                  Aurangabad                             2.3*             Kamrup urban                             5.0*                            Pune                          1.7                         Aurangabad                                  2.8                  Thi'puram taluk                              0.6
                                                                                                         Pune                         1.6*                Mizoram state                           4.6*                    Kamrup urban                          1.4                                 Pune                               2.2                             Nagpur                              0.2
                                                                                                      Chennai                       0.9*               Dibrugarh district                       4.1*                               Delhi                       1.3*                              Chennai                            1.5*                                 Delhi                             0.1
                                                                                                         Delhi                      0.9*                           Pune                       3.8*                        Mizoram state                      0.9                                                                                                    Bangalore
                                                                                                                                                                                                                                                                                           Mizoram state                            1.4                                                    –0.5*
                                                                                                       Nagpur                       0.9                 Thi'puram taluk                      3.3*                               Chennai                     0.6*
                                                                                                                                                                                                                                                                                                    Delhi                          1.3*                                  Pune                –0.7
                                                                                                    Bangalore                      0.8*                       Bangalore                     3.1*                                 Bhopal                     0.6*
                                                                                                                                                                                                                                                                                               Bangalore                           1.3*                               Chennai              –0.9*
                                                                                                Mizoram state                      0.7               Imphal West district                  3.0*                               Bangalore                   0.0
                                                                                                                                                                                                                                                                                         Thi'puram taluk                           1.2                       Dibrugarh district             –1.3
                                                                                                Kollam district                    0.7                    Kollam district                 2.7*                            Kollam district     –0.2
                                                                                                  Barshi rural                    0.3                           Chennai                   2.6*                          Thi'puram taluk      –0.3                                                 Nagpur                     0.2                                      Mumbai              –1.7*
                                                                                                       Bhopal                    0.1                             Bhopal                 2.1*                                Sikkim state     –0.4                                                 Bhopal        –0.4                                            Kollam district            –1.9
                                                                                           Imphal West district     –0.1                                           Delhi              1.5*                             Dibrugarh district   –0.6                                                 Mumbai –1.0*                                                   Mizoram state           –3.1*
                                                                                                      Mumbai –0.5*                                              Mumbai                1.4*                           Imphal West district   –0.6                                             Sikkim state –1.5                                                         Bhopal          –4.3*
                                                                                                  Sikkim state –0.8*                                        Barshi rural          0.5*                                      Barshi rural –1.4*                                          Dibrugarh district –1.6                                                   Aurangabad        –8.4*
                                                                                             Dibrugarh district –1.3*                                            Nagpur           0.4                                           Mumbai –1.5*                                          Imphal West district –1.7                                            Imphal West district –11.8*
                                                                                                                  –3.0     0.0         3.0     6.0                          0.0          3.0     6.0           9.0                        –3.0          0.0           3.0       6.0                         –3.0       0.0               3.0         6.0                        –16.0      –8.0      0.0       8.0
                                                                                                                   Annual Percentage                                          Annual Percentage                                              Annual Percentage                                                 Annual Percentage                                                   Annual Percentage
                                                                                                                      Change (%)                                                 Change (%)                                                     Change (%)                                                        Change (%)                                                          Change (%)
                                                                                                                    All Sites (females)                                             Cervix Uteri                                           Head &amp; Neck (females)                                                   Lung (females)                                         Stomach (females)
                                                                                                Kamrup urban                             3.8*             Mizoram state                                      2.1                 Nagpur                                       3.7*       Thi'puram taluk                                       7.1*
                                                                                              Thi'puram taluk                           3.5*                Aurangabad                                       2.1            Aurangabad                                 1.2                        Nagpur                                      6.8*              Kamrup urban                                11.7*
                                                                                                  Aurangabad                           3.1*                 Sikkim state                               0.3                       Bhopal                               0.9                  Kamrup urban                                     5.8*                         Pune                 1.1
                                                                                                         Pune                       2.1*                  Kamrup urban                                0.0                 Mizoram state                              0.6                       Bangalore                                 4.5*                   Kollam district              0.3
                                                                                                Mizoram state                     1.5*                 Dibrugarh district             –1.5                             Dibrugarh district                            0.5                     Aurangabad                                  4.5*
                                                                                                Kollam district                   1.4*                        Bangalore             –1.9*                                                                                                                                                                           Bangalore       –0.1
                                                                                                                                                                                                                          Kamrup urban                              0.4                          Chennai                                4.4*
                                                                                                    Bangalore                   0.8*                             Bhopal            –2.1*                                                                                                                                                                     Dibrugarh district    –0.7
                                                                                                                                                                                                                                   Delhi                            0.3                             Pune                                4.2*
                                                                                                       Bhopal                  0.7*                                Pune             –2.3                                                                                                                                                                              Chennai –0.7*
                                                                                                                                                                                                                                   Pune           –0.4                                  Dibrugarh district                             3.9*
                                                                                                  Barshi rural                 0.5*                             Mumbai            –2.4*
                                                                                                                                                            Barshi rural                                             Imphal West district         –0.5                                              Delhi                           3.0*                                 Delhi –1.2*
                                                                                                       Nagpur                 0.4                                                 –2.4*
                                                                                                      Chennai                 0.3*                                 Delhi         –2.8*                                          Chennai         –1.0                                       Kollam district                         2.4                                Mumbai –1.6*
                                                                                           Imphal West district              0.2                          Kollam district       –3.1*                                           Mumbai        –1.3*                                               Bhopal                          2.1*                            Sikkim state –1.7
                                                                                                      Mumbai                 0.1                                 Nagpur         –3.1*                                         Bangalore       –1.4*                                              Mumbai                          1.8*
                                                                                                                                                                                                                                                                                                                                                                       Nagpur –2.3
                                                                                             Dibrugarh district              0.0                                Chennai       –3.5*                                     Thi'puram taluk        –1.5                                        Mizoram state                      0.5
Downloaded from ascopubs.org by 106.192.54.167 on October 14, 2026 from 106.192.054.167
                                                                                                         Delhi               0.0                        Thi'puram taluk      –4.3*                                        Kollam district –2.6*                                       Imphal West district     –1.2                                             Mizoram state – 2.8*
                                                                                                  Sikkim state      –0.6                             Imphal West district –5.7*                                             Sikkim state –3.1                                                Sikkim state – 3.0                                            Imphal West district – 3.5
                                                                                                                  –3.0     0.0        3.0      6.0                                –6.0   –3.0   0.0      3.0                                     –3.0         0.0       3.0     6.0                           –3.0     0.0         3.0         6.0   9.0                         –8.0      0.0      8.0     16.0
                                                                                                                    Annual Percentage                                        Annual Percentage                                               Annual Percentage                                                 Annual Percentage                                                   Annual Percentage
                                                                                                                       Change (%)                                               Change (%)                                                      Change (%)                                                        Change (%)                                                          Change (%)
      Copyright © 2026 American Society of Clinical Oncology. All rights reserved.
                                                                                          FIG 4. Annual percentage change (APC) in age-adjusted incidence rates (AAR) over the time period. Calendar years of incidence data for each population-
                                                                                          based cancer registry (PBCR) used in trend analysis: Chennai (1982-2016); Mumbai (1982-2015); Bangalore (1982-2014); Barshi rural (1988-2016);
                                                                                          Bhopal (1988-2015); Delhi (1988-2014); Kamrup urban (2003-2016); Mizoram state (2004-2016); Dibrugarh district, Sikkim state, Imphal West district;
                                                                                          Aurangabad; Thiruvananthapuram (Thi’puram) taluk; Nagpur (2005-2016); Kollam district; Pune (2006-2016); PBCRs with small numbers (, 10 patients)
                                                                                          per year not analyzed. Increase in APC in red, decrease in APC in green. (*) APC signiﬁcantly different from zero; P , .05. Thi’puram PBCR expanded its
                                                                                          coverage to district from the year 2012 onwards. Hence, Thi’puram taluk data was used for trend analysis. Thi’puram taluk, Thiruvananthapuram taluk.
                                                                                                             that of Osmanabad and Beed district PBCRs in males and                                                                                                    cancer incidence pattern with the Southeast Asian region.23
                                                                                                             females, respectively. The highest cancer incidence rate                                                                                                  Overall, these ﬁndings on patterns of cancer were similar to
                                                                                                             was observed in the NE region (6 PBCRs for males and 4                                                                                                    previously published reports under NCRP.8
                                                                                                             PBCRs for females) than other areas in the country. The                                                                                                   Cancer of the breast (19 PBCRs) and cervix uteri (7 PBCRs)
                                                                                                             leading sites of cancer in the NE region were nasopharynx,                                                                                                were the most common cancers in women. The highest
                                                                                                             hypopharynx, esophagus, stomach, liver, gallbladder, lar-                                                                                                 burden of breast cancer was observed in metropolitan
                                                                                                             ynx, lung, breast, and cervix uteri. The NE region lacks                                                                                                  cities. There is an increase in the trend of incidence of
                                                                                                             required infrastructure with respect to specialized treat-                                                                                                breast cancer, whereas cervix uteri cancer is on the de-
                                                                                                             ment facilities, human resources, as seen by the low 5-year                                                                                               cline. A steady increase in breast cancer in most of the
                                                                                                             survival of breast, cervix, and head and neck cancer                                                                                                      PBCRs including newer PBCRs, poses a great health
                                                                                                             compared with rest of India. A substantial proportion of                                                                                                  challenge to women in India.24 Presently, breast cancer
                                                                                                             patients with cancer from the NE region are traveling                                                                                                     and cervix uteri are the leading sites of cancer among
                                                                                                             outside the NE for treatment and cancer care.20,21 Local                                                                                                  women in India, posing an important public health problem
                                                                                                             cultural factors and lifestyle choices may have contributed                                                                                               that needs important input from various health and other
                                                                                                             to the heterogeneity in cancer incidence pattern and dif-                                                                                                 agencies to tackle.25 A multidisciplinary approach to breast
                                                                                                             ferences in India, as was seen in Thailand.7                                                                                                              cancer, including awareness programs, preventive mea-
                                                                                                             Lung (9 PBCRs), mouth (9 PBCRs), esophagus (5 PBCRs),                                                                                                     sures, screening programs for early detection, and avail-
                                                                                                             stomach (4 PBCRs), and nasopharynx (1 PBCR) cancers                                                                                                       ability of treatment facilities, are vital for reducing both
                                                                                                             were the most common cancers in men. Lung cancer was                                                                                                      incidence and mortality of cancer in Indian women.26
                                                                                                             the leading site in metropolitan cities and the southern                                                                                                  The incidence rate of thyroid cancer among women is
                                                                                                             region, whereas mouth cancer was the leading site in the                                                                                                  increasing, and it is most common in the districts of
                                                                                                             West and Central regions. Lung cancer and oral/mouth                                                                                                      Thiruvananthapuram and Kollam in Kerala. The high
                                                                                                             cancer were the most common cancers among males in the                                                                                                    burden of thyroid cancer in Kerala could be due to
                                                                                                             Indian subcontinent.22 Cancers of the esophagus, stom-                                                                                                    overdiagnosis,27 as was observed even in high-income and
                                                                                                             ach, and nasopharynx were the leading sites in the NE                                                                                                     low- and middle-income countries.28 AAR in Barshi rural is
                                                                                                             region of India. Here, the cancer incidence pattern is dif-                                                                                               almost one third of urban PBCRs (males, 50.6 v 147.0;
                                                                                                             ferent from the rest of India. There are similarities in the                                                                                              females, 61.0 v 146.8), and the increase in APC was
                                                                                          JCO Global Oncology                                                                                                                                                                                                                                                                                                 1069</t>
  </si>
  <si>
    <t xml:space="preserve">Mathur et al
                                                                                                     TABLE 2. Projected Incidence of Cancer Statistics in India, 2020
                                                                                                                                                       Male                                Female                             Both Sexes
                                                                                                       Site                            Patients   CR          Cum Risk      Patients      CR        Cum Risk       Patients   CR      Cum Risk
                                                                                                       All sites                       679,421 94.1           1 in 9        712,758 103.6           1 in 9        1,392,179 98.7      1 in 9
                                                                                                       Oral cavity and pharynx         139,018 19.2           1 in 41        49,951        7.3      1 in 112       188,969 13.4        1 in 60
                                                                                                         Tongue                         39,902    5.5         1 in 147       13,870        2.0      1 in 401         53,772   3.8      1 in 215
                                                                                                         Mouth                          57,380    7.9         1 in 103       22,483        3.3      1 in 241         79,863   5.7      1 in 144
                                                                                                         Pharynx                         3,029    0.4         1 in 1,793          1,102    0.2      1 in 5,475        4,131   0.3      1 in 2,701
                                                                                                         Other oral cavity              38,707    5.4         1 in 137       12,496        1.8      1 in 476         51,203   3.6      1 in 213
                                                                                                       Digestive system                163,845 22.7           1 in 32       110,137       16.0      1 in 50        273,982 19.4        1 in 39
                                                                                                         Esophagus                      32,622    4.5         1 in 159       20,206        2.9      1 in 264         52,828   3.7      1 in 198
                                                                                                         Stomach                        32,713    4.5         1 in 160       17,430        2.5      1 in 319         50,143   3.6      1 in 213
                                                                                                         Small intestine                 2,155    0.3         1 in 2,492          1,451    0.2      1 in 3,901        3,606   0.3      1 in 3,044
                                                                                                         Colon                          20,572    2.8         1 in 260       15,685        2.3      1 in 348         36,257   2.6      1 in 298
Downloaded from ascopubs.org by 106.192.54.167 on October 14, 2026 from 106.192.054.167
                                                                                                         Rectum                         21,915    3.0         1 in 244       14,985        2.2      1 in 372         36,900   2.6      1 in 295
                                                                                                         Anus, anal canal                2,897    0.4         1 in 1,865          2,028    0.3      1 in 2,682        4,925   0.3      1 in 2,200
      Copyright © 2026 American Society of Clinical Oncology. All rights reserved.
                                                                                                         Liver and intrahepatic bile    26,678    3.7         1 in 189       10,732        1.6      1 in 514         37,410   2.7      1 in 277
                                                                                                            duct
                                                                                                         Gallbladder and other          12,385    1.7         1 in 422       19,510        2.8      1 in 284         31,895   2.3      1 in 340
                                                                                                           biliary
                                                                                                         Pancreas                       11,908    1.6         1 in 429            8,110    1.2      1 in 657         20,018   1.4      1 in 519
                                                                                                       Respiratory system              103,552 14.3           1 in 48        32,480        4.7      1 in 165       136,032    9.6      1 in 74
                                                                                                         Larynx                         27,146    3.8         1 in 184            3,316    0.5      1 in 1,633       30,462   2.2      1 in 331
                                                                                                         Lung and bronchus              71,788    9.9         1 in 68        26,490        3.9      1 in 201         98,278   7.0      1 in 101
                                                                                                         Other respiratory organs        4,618    0.6         1 in 1,273          2,674    0.4      1 in 2,156        7,292   0.5      1 in 1,600
                                                                                                       Bones and joints                  8,115    1.1         1 in 1,013          5,840    0.8      1 in 1,370       13,955   1.0      1 in 1,162
                                                                                                       Soft tissue                       8,047    1.1         1 in 842            6,590    1.0      1 in 1,052       14,637   1.0      1 in 936
                                                                                                       Skin (excluding basal and        11,203    1.6         1 in 510            8,962    1.3      1 in 640         20,165   1.4      1 in 568
                                                                                                            squamous)
                                                                                                         Melanoma of the skin            3,003    0.4         1 in 1,904          2,364    0.3      1 in 2,281        5,367   0.4      1 in 2,075
                                                                                                         Other nonepithelial skin        8,200    1.1         1 in 695            6,598    1.0      1 in 890         14,798   1.0      1 in 781
                                                                                                       Breast                            5,377    0.7         1 in 1,022    205,424       29.9      1 in 29        210,801 15.0        1 in 56
                                                                                                       Genital system                   51,994    7.2         1 in 105      155,630       22.6      1 in 36        207,624 14.7        1 in 54
                                                                                                         Uterine cervix                  —        —              —           75,209       10.9      1 in 75          75,209 10.9       1 in 75
                                                                                                         Uterine corpus                  —        —              —           26,514        3.9      1 in 190         26,514   3.9      1 in 190
                                                                                                         Ovary                           —        —              —           43,886        6.4      1 in 133         43,886   6.4      1 in 133
                                                                                                         Vulva                           —        —              —                2,138    0.3      1 in 2,459        2,138   0.3      1 in 2,459
                                                                                                         Vagina and other genital,       —        —              —                7,570    1.1      1 in 745          7,570   1.1      1 in 745
                                                                                                           female
                                                                                                         Placenta                        —        —              —                 313     0.0      1 in 30,912         313   0.0     1 in 30,912
                                                                                                         Prostate                       41,532    5.7         1 in 125            —       —            —             41,532   5.7      1 in 125
                                                                                                         Testis                          4,352    0.6         1 in 2,095          —       —            —              4,352   0.6      1 in 2,095
                                                                                                         Penis and other genital,        6,110    0.8         1 in 916            —       —            —              6,110   0.8      1 in 916
                                                                                                           male
                                                                                                       Urinary system                   33,269    4.6         1 in 158       11,265        1.6      1 in 502         44,534   3.2      1 in 240
                                                                                                         Urinary bladder                20,470    2.8         1 in 250            5,403    0.8      1 in 1,014       25,873   1.8      1 in 402
                                                                                                         Kidney and renal pelvis        12,363    1.7         1 in 442            5,657    0.8      1 in 1,038       18,020   1.3      1 in 620
                                                                                                                                                                (Continued on following page)
                                                                                          1070 © 2020 by American Society of Clinical Oncology</t>
  </si>
  <si>
    <t xml:space="preserve">Cancer Pattern and Burden in India Under NCRP
                                                                                                      TABLE 2. Projected Incidence of Cancer Statistics in India, 2020 (Continued)
                                                                                                                                                       Male                              Female                             Both Sexes
                                                                                                       Site                          Patients     CR          Cum Risk       Patients   CR        Cum Risk       Patients   CR      Cum Risk
                                                                                                         Ureter and other urinary        436       0.1        1 in 10,843        205    0.0       1 in 21,892         641   0.0     1 in 14,531
                                                                                                           organs
                                                                                                       Eye and orbit                    1,304      0.2        1 in 6,870         953    0.1       1 in 9,063        2,257   0.2      1 in 7,792
                                                                                                       Brain and other nervous        19,979       2.8        1 in 341        12,750    1.9       1 in 546         32,729   2.3      1 in 419
                                                                                                            system
                                                                                                       Endocrine system                 9,263      1.3        1 in 709        26,665    3.9       1 in 279         35,928   2.5      1 in 402
                                                                                                         Thyroid                        8,570      1.2        1 in 759        26,095    3.8       1 in 285         34,665   2.5      1 in 416
                                                                                                         Adrenal gland                   693       0.1        1 in 10,797        570    0.1       1 in 14,053       1,263   0.1     1 in 12,209
                                                                                                       Lymphoma                       32,695       4.5        1 in 197        20,247    2.9       1 in 296         52,942   3.8      1 in 236
                                                                                                         Hodgkin lymphoma               7,294      1.0        1 in 1,150       3,936    0.6       1 in 1,871       11,230   0.8      1 in 1,418
                                                                                                         Non-Hodgkin lymphoma         25,344       3.5        1 in 238       16,263     2.4       1 in 352         41,607   3.0      1 in 284
                                                                                                         Malig Imn Prol D                  57      0.0        1 in 101,774        48    0.0       1 in 164,355        105   0.0      1 in 126,050
Downloaded from ascopubs.org by 106.192.54.167 on October 14, 2026 from 106.192.054.167
                                                                                                       Multiple myeloma               10,725       1.5        1 in 465         7,756    1.1       1 in 646         18,481   1.3      1 in 541
                                                                                                       Leukemia                       32,481       4.5        1 in 239        21,132    3.1       1 in 353         53,613   3.8      1 in 284
      Copyright © 2026 American Society of Clinical Oncology. All rights reserved.
                                                                                                         Lymphoid leukemia            14,159       2.0        1 in 608         7,419    1.1       1 in 1,138       21,578   1.5      1 in 789
                                                                                                         Myeloid leukemia             14,913       2.1        1 in 474        11,275    1.6       1 in 617         26,188   1.9      1 in 536
                                                                                                         Leukemia uns                   3,409      0.5        1 in 2,287       2,438    0.4       1 in 2,980        5,847   0.4      1 in 2,583
                                                                                                       Other and unspeciﬁed           48,554       6.7        1 in 114        36,976    5.4       1 in 153         85,530   6.1      1 in 131
                                                                                                           primary sites
                                                                                                        Abbreviations: CR, crude rate; cum risk, cumulative risk of developing cancer at 0-74 years of age; Malig Imn Prol D, malignant
                                                                                                      immunoproliferative diseases; Uns, unspeciﬁed.
                                                                                                      less compared with urban PBCRs. This needs additional                      proportion (88.1%) were seen in Uttarakhand.33 Multi-
                                                                                                      investigation.                                                             modality was the most common treatment given for breast
                                                                                                                                                                                 and head and neck cancers. A multi-institutional study
                                                                                                      There are cancers of several anatomic sites known to be
                                                                                                                                                                                 estimated that 65% of new head and neck cancers with
                                                                                                      associated with the use of tobacco.29 Based on PBCR data,
                                                                                                                                                                                 locally advanced disease did not receive the beneﬁt of
                                                                                                      almost one third of the cancers were known to be asso-
                                                                                                                                                                                 optimal treatment, resulting in poor survival.34
                                                                                                      ciated with the use of tobacco in India. India state-level
                                                                                                      disease burden initiative cancer collaborators estimated                   Less than one ﬁfth of lung and stomach cancers were
                                                                                                      that tobacco use was the highest contributing risk factor for              diagnosed as localized only. Systemic therapy was the most
                                                                                                      cancer in India. In India, lung cancer can be attributed to                common type of treatment given for lung and stomach
                                                                                                      tobacco use and air pollution, which are the leading risk                  cancer. A previous report on HBCR results showed similar
                                                                                                      factors.30 Approximately 70% of cancers in India were                      ﬁndings.8a A hospital-based study from northern India
                                                                                                      potentially preventable through modiﬁable risk factors.31                  showed that 90% of patients with lung cancer were di-
                                                                                                                                                                                 agnosed at an advanced stage of the disease, and there
                                                                                                      Because it is difﬁcult to obtain information on the clinical
                                                                                                                                                                                 was a delay in diagnostic evaluation and treatment.35
                                                                                                      extent of disease and treatment from PBCRs, the hospital
                                                                                                                                                                                 Creating cancer awareness, preventing risk factors, and
                                                                                                      database was used for such analysis.10 The majority of
                                                                                                                                                                                 improving access to care among people would result in
                                                                                                      breast and cervix uteri cancers were diagnosed at a locally
                                                                                                                                                                                 downstaging of cancer.
                                                                                                      advanced stage. Chemoradiation was the most common
                                                                                                      type of treatment of cancer cervix uteri. A multi-institutional            The measure of validity, MV%, was above 77% for all the
                                                                                                      study from India on cervix cancer showed signiﬁcantly                      PBCRs. Varying patterns of DCO% and M:I% were ob-
                                                                                                      better survival with chemoradiation than radiation alone in                served among PBCRs which were dependent on the quality
                                                                                                      the locally advanced stage.18 A study from Chennai showed                  of death registration and certiﬁcation.13 Efforts to improve
                                                                                                      that concurrent chemoradiation for locally advanced cer-                   the quality are always underway. In some registries, low
                                                                                                      vical cancer resulted in the best disease-free survival.32 Two             DCO% (, 1%) is due to nonavailability of all-cause mor-
                                                                                                      thirds of the patients with cancer were diagnosed at the                   tality data and incomplete/incorrect certiﬁcation of cause of
                                                                                                      locoregional stage for head and neck cancers from HBCRs.                   death. Some registries had an efﬁcient trace back proce-
                                                                                                      Similar to that, a low proportion of patients with head and                dure by house visit/phone. Data from PBCRs were regu-
                                                                                                      neck cancer presented in the early stage, and a high                       larly published in successive volumes of Cancer Incidence
                                                                                          JCO Global Oncology                                                                                                                                   1071</t>
  </si>
  <si>
    <t xml:space="preserve">Mathur et al
                                                                                                     in Five Continents (CI-5) by WHO-IACR/IARC. The incidence                           with cancer, are likely to inﬂuence the projected number of
                                                                                                     data from 15 PBCRs under NCRP (India) were published                                patients.
                                                                                                     in Cancer Incidence in Five Continents, Volume XI, by WHO-                          PBCRs in this study covered 100 million average annual
                                                                                                     IACR/IARC.36-38                                                                     person-years, accounting for coverage close to 10% of the
                                                                                                     The projected incidence of patients with cancer is higher for                       population in India. Cancer registration in India faces
                                                                                                     females (712,758) than males (679,421) for the year 2020.                           several challenges because it is not a notiﬁable disease,
                                                                                                     The projected national cancer incidence burden in 2020                              posing challenges to data collection.39-42 The mortality
                                                                                                     will be 98.7 per 100,000 population (1,392,179 patients)                            registration system has several gaps, including incomplete
                                                                                                     as a conservative estimate. It is assumed that the observed                         and inaccurate certiﬁcation of cause of death.43,44 Regis-
                                                                                                     rate of 2012-2016 will remain unchanged until 2020. The                             tering through passive notiﬁcation by health care providers
                                                                                                     time trend in rate was not used to avoid uncertainty in the                         to report cancer occurrence in India would improve the
                                                                                                     projection for a populous country like India. NCRP has                              coverage with limited resources. Linking of cancer registry
                                                                                                     estimated a slightly higher number of patients with cancer                          data with Ayushman Bharat,45 mortality databases, and the
                                                                                                     compared with IACR/IARC and GLOBOCAN for all sites of                               Hospital Information System would improve cancer regis-
                                                                                                     cancer in 2018. This may be because of a difference in                              tration, follow-up, and outcome data.
                                                                                                     methodology and use of recent data (1,392,179 v                                     This study provides a framework for assessing the status
Downloaded from ascopubs.org by 106.192.54.167 on October 14, 2026 from 106.192.054.167
                                                                                                     1,157,294).22 This is the ﬁrst such attempt in the country                          and trends of cancer in India. This shall guide appropriate
                                                                                                     and will be further updated on availability of the next data                        support for action to strengthen efforts to improve cancer
      Copyright © 2026 American Society of Clinical Oncology. All rights reserved.
                                                                                                     set and census information. The inﬂuencing factors, such                            prevention and control to achieve the National NCD targets
                                                                                                     as risk factors/behavior, case ﬁnding procedure, screening                          and the sustainable development goals.46,47 The data also
                                                                                                     program, and improved techniques for detecting patients                             provide leads to key research questions.
                                                                                                     AFFILIATION                                                                         AUTHORS’ DISCLOSURES OF POTENTIAL CONFLICTS OF
                                                                                                     1
                                                                                                         National Centre for Disease Informatics and Research, Bengaluru, India          INTEREST
                                                                                                                                                                                         The following represents disclosure information provided by authors of
                                                                                                     CORRESPONDING AUTHOR                                                                this manuscript. All relationships are considered compensated unless
                                                                                                     Prashant Mathur, PhD, National Centre for Disease Informatics and                   otherwise noted. Relationships are self-held unless noted. I = Immediate
                                                                                                     Research, ICMR Complex (II Floor), Poojanahalli, Kannamangala Post,                 Family Member, Inst = My Institution. Relationships may not relate to the
                                                                                                     Bengaluru, Karnataka 562 110 India; Twitter: @ncdirindia; e-mail:                   subject matter of this manuscript. For more information about ASCO’s
                                                                                                     director@ncdirindia.org.                                                            conﬂict of interest policy, please refer to www.asco.org/rwc or ascopubs.
                                                                                                                                                                                         org/go/site/misc/authors.html.
                                                                                                                                                                                         Open Payments is a public database containing information reported by
                                                                                                     AUTHOR CONTRIBUTIONS                                                                companies about payments made to US-licensed physicians (Open
                                                                                                     Conception and design: Prashant Mathur, Krishnan Sathishkumar,                      Payments).
                                                                                                     Meesha Chaturvedi
                                                                                                     Collection and assembly of data: Prashant Mathur, Krishnan                          No potential conﬂicts of interest were reported.
                                                                                                     Sathishkumar, Meesha Chaturvedi, Priyanka Das, Kondalli
                                                                                                     Lakshminarayana Sudarshan, Anish John, Francis Selvaraj Roselind
                                                                                                     Data analysis and interpretation: All authors
                                                                                                                                                                                         ACKNOWLEDGMENT
                                                                                                     Manuscript writing: All authors                                                     The authors acknowledge the contribution of the 28 population-based
                                                                                                     Final approval of manuscript: All authors                                           cancer registries and 58 hospital-based cancer registries under the
                                                                                                     Accountable for all aspects of the work: All authors                                National Cancer Registry Program, which contributed data, and Research
                                                                                                                                                                                         Area Panel Expert Group on Cancer.
                                                                                                     REFERENCES
                                                                                                     1.     WHO: World Health Statistics 2019: Monitoring Health for the SDGs. Geneva, Switzerland, World Health Organization, 2018
                                                                                                     2.     Parkin DM: The evolution of the population-based cancer registry. Nat Rev Cancer 6:603-612, 2006
                                                                                                     3.     Nandakumar A, Gupta PC, Gangadharan P, et al: Geographic pathology revisited: Development of an atlas of cancer in India. Int J Cancer 116:740-754, 2005
                                                                                                     4.     Swaminathan R, Selvakumaran R, Esmy PO, et al: Cancer pattern and survival in a rural district in South India. Cancer Epidemiol 33:325-331, 2009
                                                                                                     5.      Jemal A, Ward EM, Johnson CJ, et al: Annual report to the nation on the status of cancer, 1975-2014, featuring survival. J Natl Cancer Inst 109:djx030, 2017
                                                                                                     6.     de Camargo B, de Oliveira Santos M, Rebelo MS, et al: Cancer incidence among children and adolescents in Brazil: First report of 14 population-based cancer
                                                                                                            registries. Int J Cancer 126:715-720, 2010
                                                                                                     7.     Pongnikorn D, Daoprasert K, Waisri N, et al: Cancer incidence in northern Thailand: Results from six population-based cancer registries 1993-2012. Int
                                                                                                            J Cancer 142:1767-1775, 2018
                                                                                                     8.     National Centre for Disease Informatics and Research: Consolidated Report of Population Based Cancer Registries, 2006-2008, 2009-2011, 2012-2014
                                                                                                            Bengaluru, India, National Cancer Registry Programme (NCRP-ICMR) https://ncdirindia.org/Reports.aspx
                                                                                                     8a. National Centre for Disease Informatics and Research: Consolidated Report of Hospital Based Cancer Registries, 2004-2006, 2007-2011, 2012-2014
                                                                                                         Bengaluru, India, National Cancer Registry Programme (NCRP-ICMR) https://ncdirindia.org/Reports.aspx
                                                                                          1072 © 2020 by American Society of Clinical Oncology</t>
  </si>
  <si>
    <t xml:space="preserve">Cancer Pattern and Burden in India Under NCRP
                                                                                                      9.    National Centre for Disease Informatics and Research: Time trends in cancer incidence rates, 1982-2010, Bangalore: National Cancer Registry Programme
                                                                                                            (NCRP-ICMR), 2013. https://www.ncdirindia.org/All_Reports/TREND_REPORT_1982_2010/
                                                                                                      10. Jensen OM, Parkin DM, MacLennan R, et al (eds): Cancer Registration: Principles and Methods. Lyon, France, IARC Scientiﬁc Publications, 1991
                                                                                                      11. WHO: International Statistical Classiﬁcation of Diseases and Related Health Problems. Geneva, Switzerland, Wold Health Organization, 1994
                                                                                                      12. Bray F, Parkin DM: Evaluation of data quality in the cancer registry: Principles and methods. Part I: Comparability, validity and timeliness. Eur J Cancer
                                                                                                          45:747-755, 2009
                                                                                                      13. Parkin DM, Bray F: Evaluation of data quality in the cancer registry: Principles and methods Part II. Completeness. Eur J Cancer 45:756-764, 2009
                                                                                                      14. Segi M: Cancer Mortality for Selected Sites in 24 Countries 1950-1957. Sendai, Japan, The Department of Public Health, Tohoku University School of Medicine
                                                                                                          1960
                                                                                                      15. Joinpoint regression program, version 4.0.1. Statistical research and application branch, National Cancer Institute, 2013. https://surveillance.cancer.gov/
                                                                                                          joinpoint/
                                                                                                      16. Census of India: Registrar General of India, Socio Cultural Tables, C14, Population by Five Year Age Group, by Residence and Sex, New Delhi, 2001 &amp; 2011.
                                                                                                          www.censusindia.gov.in
                                                                                                      17. Takiar R, Shobana B: Cancer incidence rates and the problem of denominators - a new approach in Indian cancer registries. Asian Pac J Cancer Prev
                                                                                                          10:123-126, 2009
                                                                                                      18. Nandakumar A, Kishor Rath G, Chandra Kataki A, et al: Concurrent chemoradiation for cancer of the cervix: Results of a multi-institutional study from the setting
                                                                                                          of a developing country (India). J Glob Oncol 1:11-22, 2015
                                                                                                      19. Edge SB: AJCC Cancer Staging Manual (ed 7). New York, NY, Springer, 2010
                                                                                                      20. National Centre for Disease Informatics and Research: Report on Cancer Burden in North Eastern States of India. Bengaluru, India, National Cancer Registry
                                                                                                          Programme (NCRP-ICMR) http://ncdirindia.org/
Downloaded from ascopubs.org by 106.192.54.167 on October 14, 2026 from 106.192.054.167
                                                                                                      21. Ngaihte P, Zomawia E, Kaushik I: Cancer in the NorthEast India: Where we are and what needs to be done? Indian J Public Health 63:251-253, 2019
                                                                                                      22. Bray F, Ferlay J, Soerjomataram I, et al: Global cancer statistics 2018: GLOBOCAN estimates of incidence and mortality worldwide for 36 cancers in 185
                                                                                                          countries. CA Cancer J Clin 68:394-424, 2018
      Copyright © 2026 American Society of Clinical Oncology. All rights reserved.
                                                                                                      23. Sharma JD, Kalit M, Nirmolia T, et al: Cancer: Scenario and relationship of different geographical areas of the globe with special reference to North East-India.
                                                                                                          Asian Pac J Cancer Prev 15:3721-3729, 2014
                                                                                                      24. Chaturvedi M, Vaitheeswaran K, Satishkumar K, et al: Time trends in breast cancer among Indian women population: An analysis of population based cancer
                                                                                                          registry data. Indian J Surg Oncol 6:427-434, 2015
                                                                                                      25. Takiar R: Status of breast and cervix cancer in selected registries of India. Ann Womens Health 2:1012, 2018
                                                                                                      26. Malvia S, Bagadi SA, Dubey US, et al: Epidemiology of breast cancer in Indian women. Asia Pac J Clin Oncol 13:289-295, 2017
                                                                                                      27. Mathew IE, Mathew A: Rising thyroid cancer incidence in Southern India: An epidemic of overdiagnosis? J Endocr Soc 1:480-487, 2017
                                                                                                      28. Lortet-Tieulent J, Franceschi S, Dal Maso L, et al: Thyroid cancer “epidemic” also occurs in low- and middle-income countries. Int J Cancer 144:2082-2087,
                                                                                                          2019
                                                                                                      29. WHO: Overall Evaluations of Carcinogenicity: An Updating of IARC Monographs, Volumes 1-42. Lyon, France, IARC, 1987
                                                                                                      30. India State-Level Disease Burden Initiative Cancer Collaborators: The burden of cancers and their variations across the states of India: The Global Burden of
                                                                                                          Disease Study 1990-2016. Lancet Oncol 19:1289-1306, 2018
                                                                                                      31. Gandhi AK, Kumar P, Bhandari M, et al: Burden of preventable cancers in India: Time to strike the cancer epidemic. J Egypt Natl Canc Inst 29:11-18, 2017
                                                                                                      32. Shanta V, Selvaluxmy G, Swaminathan R, et al: Evolution in the management of locally advanced cervical cancer: The experience of Cancer Institute (WIA),
                                                                                                          Chennai, India. Asian Pac J Cancer Prev 11:1091-1098, 2010
                                                                                                      33. Pandey KC, Revannasiddaiah S, Pant NK, et al: Stage-wise presentation of non-metastatic head and neck cancer: An analysis of patients from the Kumaon hills
                                                                                                          of India. Asian Pac J Cancer Prev 15:4957-4961, 2014
                                                                                                      34. Nandakumar A, Kishor Rath G, Chandra Kataki A, et al: Survival in head and neck cancers: Results of a multi-institution study. Asian Pac J Cancer Prev
                                                                                                          17:1745-1754, 2016
                                                                                                      35. Chandra S, Mohan A, Guleria R, et al: Delays during the diagnostic evaluation and treatment of lung cancer. Asian Pac J Cancer Prev 10:453-456, 2009
                                                                                                      36.   Curado MP, Edwards B, Shin HR, et al (eds): Cancer Incidence in Five Continents, Volume IX. Lyon, France, IARC Scientiﬁc Publications, 2007
                                                                                                      37. Forman D, Bray F, Brewster DH, et al (eds): Cancer Incidence in Five Continents Volume X. Lyon, France, IARC Scientiﬁc Publications, 2014
                                                                                                      38. Bray F, Colombet M, Mery L, et al (eds): Cancer Incidence in Five Continents, Volume XI. Lyon, France, IARC Scientiﬁc Publications, 2017
                                                                                                      39. Bray F, Znaor A, Cueva P, et al (eds): Planning and Developing Population-Based Cancer Registration in Low- and Middle-Income Settings. Lyon, France, IARC
                                                                                                          Technical Publication, 2014
                                                                                                      40. Dhar M: A critical review of evolution of cancer registration in India. J Tumor Med Prev 2:555594 2018
                                                                                                      41. Sahoo SS, Verma M, Parija PP: An overview of cancer registration in India: Present status and future challenges. Oncol J India 2:86-89, 2018
                                                                                                      42. Behera P, Patro BK: Population based cancer registry of India – the challenges and opportunities. Asian Pac J Cancer Prev 19:2885-2889, 2018
                                                                                                      43. Kakkar R, Aggarwal P: Civil registration &amp; sample registration system: Challenges and initiatives. SRHU Medical Journal 1:47-49, 2017
                                                                                                      44. ORGI: Report on Medical Certiﬁcation of Cause of Death (MCCD) 2017, India, Ofﬁce of the Registrar General, Ministry of Home Affairs. Vital Stat (Ott Annu Ed),
                                                                                                          2017. https://censusindia.gov.in/2011-Documents/mccd_Report1/MCCD_Report-2017.pdf
                                                                                                      45. National Health Authority: Ayushman Bharat Pradhan Mantri Jan Arogya Yojana. National Health Authority, Government of India. http://www.pmjay.gov.in/
                                                                                                      46. WHO: NCD Global Monitoring Framework. https://www.who.int/nmh/global_monitoring_framework/2013-11-06-who-dc-c268-whp-gap-ncds-techdoc-def3.
                                                                                                          pdf?ua=1
                                                                                                      47. United Nations: Transforming our world: The 2030 agenda for sustainable development. https://sustainabledevelopment.un.org/content/documents/
                                                                                                          21252030%20Agenda%20for%20Sustainable%20Development%20web.pdf
                                                                                                                                                                                    n n n
                                                                                          JCO Global Oncology                                                                                                                                                        1073</t>
  </si>
  <si>
    <t xml:space="preserve">Mathur et al
                                                                                                     APPENDIX                                                                 Suryanarayana Deo, MS, N. Manoharan); Patiala District PBCR -
                                                                                                                                                                              Government Medical College and Rajindra Hospital, Punjab (Vijay
                                                                                                                                                                              Kumar Bodal, MD, Mohanvir Kaur, MD); Hyderabad PBCR - Nizam’s
                                                                                                     INDIAN COUNCIL OF MEDICAL RESEARCH–NATIONAL                              Institute of Medical Sciences, Telangana (G. Sadashivudu, MD,
                                                                                                     CENTRE FOR DISEASE INFORMATICS AND                                       U. Srihari); Kollam PBCR - District Cancer Registry Kollam, Regional
                                                                                                     RESEARCH–NATIONAL CANCER REGISTRY PROGRAM                                Cancer Centre, Kerala (Rekha G Nair, MD, P. Jayalekshmi, PhD);
                                                                                                                                                                              Thiruvananthapuram PBCR - Regional Cancer Centre, Thiruvanan-
                                                                                                     INVESTIGATOR GROUP                                                       thapuram, Kerala (Aleyamma Mathew, PhD, Preethi Sara George,
                                                                                                     Swetha Acharya, Dillip Kumar Agarwalla, Zarika Ahmed, Gazi Naseem        PhD); Bengaluru PBCR – Kidwai Memorial Institute of Oncology,
                                                                                                     Ahmed, Shiraj Ahmed, B.S. Ajaikumar, P. Anandhi, Anil Kumar              Karnataka (Ramachandra, MS, C. Ramesh, PhD, C.R. Vijay,
                                                                                                     Anand, Ramandeep Arora, R.A. Badwe, Manas Ranjan Baisakh,                PhD); Chennai PBCR – Cancer Institute (WIA), Tamil Nadu
                                                                                                     Balamuralikrishna, Debabrata Barmon, Sangita Bhandari, Samir             (R. Swaminathan, PhD, R. Rama Ranganathan, PhD); Kolkata PBCR –
                                                                                                     Bhattacharya, M. Bhattacharyya, Arup Bhowmik, T.W. Bhutia, T. Bindhu,    Chittaranjan National Cancer Institute and Saroj Gupta Cancer Centre
                                                                                                     Vijay Kumar Bodal, Pradeep Chandrakar, Latha Chaturvedua,                and Research Institute, West Bengal (Samir Bhattacharya, PhD,
                                                                                                     Richa Chauhan, Saia Chenkual, S. Chhabra, Lily Chhakchhuak, Vivek        Syamsundar Mandal, PhD, Durgaprasad Nanda, MS); Ahmedabad
                                                                                                     Choudhary, Ashok Kumar Das, Rituparna Das, Dhritiman Datta,              urban PBCR – Gujarat Cancer &amp; Research Institute, Gujarat (Shashak
                                                                                                     Biswajit Debbamma, Shiromani Debbarma, S.V. Suryanarayana Deo,           Pandya, MS, Anand Shah, MD); Mumbai, Aurangabad, Nagpur, Pune
                                                                                                     Vinay Deshmane, Madhubala Devi, Punyabati Devi, Laishram Purnima         PBCRs – Indian Cancer Society, Maharashtra (Vinay Deshmane, MD,
                                                                                                     Devi, Rajesh Dikshit, H. Dkhar, Biswajit Dubashi, Debanarayan Dutta,     S.S. Koyande); Barshi Expanded (Osmanabad and Beed Districts)
                                                                                                     Vijay Gadagi, Vinay Gadigi, B. Ganesh, M.S. Ganesh, K.V. Gang-           PBCR – Nargis Dutt Memorial Cancer Hospital, Maharashtra (NS
                                                                                                     adharan, Nitin Gangane, Uma Garg, Preethi Sara George, Sushmita          Panse); Barshi Rural PBCR – Tata Memorial Hospital, Maharashtra
Downloaded from ascopubs.org by 106.192.54.167 on October 14, 2026 from 106.192.054.167
                                                                                                     Ghosal, Radha Ghosh, Debasis Gochhait, Ajay Gogia, H.K. Goswami,         (R.A. Badwe, MS, Rajesh Dikshit, PhD); Wardha PBCR – Mahatma
                                                                                                     Ashutosh Gupta, Manish Gupta, Kaveri Hallikeri, Rajesh Harsvardhan,      Gandhi Institute of Medical Sciences, Maharashtra (Nitin Gangane,
                                                                                                     B.H. Srinivas, Vandana Jain, Swarima Jaitley, K.L. Jayakumar,            MD, Swapna Maliye, S. Chhabra, MD); Bhopal PBCR – Gandhi
      Copyright © 2026 American Society of Clinical Oncology. All rights reserved.
                                                                                                     P. Jayalekshmi, Kaling Jerang, G. Jongkey, J. Seios, K. Vijayakumar,     Medical College, Madhya Pradesh (Reeni Malik, MD, Atul Shrivastava);
                                                                                                     D. Kadambari, Geeta Kadayaprath, Ravi Kannan, R. Kapoor, Tejinder        Manipur PBCR – Regional Institute of Medical Sciences, Manipur
                                                                                                     Kataria, Mohanvir Kaur, Swarn Kaur, K. Gunaseelan, Shehna A.             (Madhubala Devi, MD, Punyabati Devi, MD, Laishram Rajesh, MD,
                                                                                                     Khader, V. Khamo, Nazir Ahmad Khan, Sushma Khuraijam, Marla K.           Sushma Khuraijam); Mizoram PBCR – Civil Hospital, Mizoram (Eric
                                                                                                     Prashanth, Anjali Kolhe, S.S. Koyande, Adishi Kri, Dinesh Kumar,         Zomawia, MD, John Zohmingthanga, MD, Lalchhanhimi, MD, Saia
                                                                                                     G. Dilip Kumar, Narender Kumar, S. Shiva Kumar, Sunil Kumar,             Chenkual, MD, B. Zothankima, MD, Lily Chhakchhuak, MBBS, Jerry
                                                                                                     Rajesh Singh Laishram, Lalchhanhimi, K. Lalfakzuala, Lalhlupuii,         Lalrinsanga, MBBS); Sikkim PBCR – Sir Thutob Namgyal Memorial
                                                                                                     Doris Lallawmzuali, Jerry Lalrinsanga, Cindy Lalthanpuii, Imliwati       Referral Hospital, Sikkim (T.W. Bhutia, MD, Priya Darshini Pradhan,
                                                                                                     Longkumer, M.B. Jayaraman, Gautam Majumdar, Reeni Malik, Swapna          MD, Sangita Bhandari); Naharlagun (West Arunachal) PBCR – Timo
                                                                                                     Maliye, Indranil Mallick, Syamsundar Mandal, N. Manoharan, Lone          Riba State Hospital, Arunachal Pradesh (Sopai Tawsik, MD, Shyam
                                                                                                     Mohammad Maqbool, Aleyamma Mathew, Sanjay Mishra, Janmejay               Tsering, MD, K.R. Adishi, MD, Gamba Padu, MD); Meghalaya PBCR –
                                                                                                     Mohapatra, C.T. Muthukumaran, Rekha G. Nair, Prem Nair, Sunithra         Civil Hospital, Meghalaya (W.B. Langstieh, H. Dkha, MD, B. Sohliya,
                                                                                                     Nair, Durgaprasad Nanda, D.K. Nath, Partha Nath, N. Venkatesh,           MD, L Purnima Devi, MD); Nagaland PBCR – Naga Hospital Authority,
                                                                                                     Gamba Padu, Rakesh Pandey, Shashank Pandya, Sangeeta Pankaj,             Nagaland (V. Khamo, MD, Kedozeto Punyu, MD); Pasighat PBCR –
                                                                                                     N.S. Panse, Sujith Chayu Patanaik, P.C. Pathy, Jeremy L. Pautu, K.       Bakin Pertin General Hospital, Arunachal Pradesh (Kaling Jerang,
                                                                                                     Pavithran, Prasanth Penumade, Priya Darshini Pradhan, Aruna E.           PGDCP, G. Jongkey, MD); Tripura PBCR – Cancer Hospital, Regional
                                                                                                     Prasad, Punitalal, Kedozeto Punyu, K. Kalpana Raghunath, Mujeeb          Cancer Centre, Tripura (Gautam Majumdar, MD, Arup Bhowmik, MD,
                                                                                                     Rahman, Vinod Raina, Ravi Shankar Rajendra, Ramachandra, C.              Rituparna Das, MD, Shiromani Debbarma); Cachar PBCR – Silchar
                                                                                                     Ramesh, B.S. Ramesh, Rakesh S. Ramesh, R. Rama Ranganathan,              Medical College, Assam (Shah Alam Sheikh, MD, R.P. Banik, MD);
                                                                                                     Rita Rani, K. Ratheesan, Sudhir Rawal, Prarthana Roselil, G. Sada-       Dibrugarh PBCR – Assam Medical College and Hospital, Assam
                                                                                                     shivudu, B.J. Saikia, Projnan Saikia, S.K. Samantara, A. Santa,          (Projnan Saikia, MD, Zarika Ahmed, MD); Guwahati (Kamrup urban)
                                                                                                     Anupam Sarma, N. Hariharanadha Sarma, Sunil Kumar Saxena, Pooja          PBCR – Dr. Bhubaneswar Borooah Cancer Institute (Regional Institute
                                                                                                     Sethi, Anand Shah, B.K. Sharma, Jagannath Dev Sharma, Sudarshan          for Treatment and Research), Assam (Jagannath D. Sharma, MD,
                                                                                                     Sharma, Shah Alam Sheikh, Kamalaksh Shenoy, Dinesh Shet, Atul            Anupam Sarma, MD, Debabrata Barmon, MD, Shiraj Ahmed, MD).
                                                                                                     Shrivastava, B.R. Shrivastava, Sushma Shrivastava, Alben Sigamani,
                                                                                                     Neetu Singhal, Indibor Singh, Rajesh Kumar Singh, Usha Singh,            Hospital-Based Cancer Registries A.J. Hospital &amp; Research
                                                                                                     Badarisha R. Sohliya, G.S. Sreenath, U. Srihari, V.G. Sudhakaran,        Centre, Mangalore (Marla K. Prashanth, MS, Kamalaksh Shenoy, MD);
                                                                                                     Saina Sunilkumar, Partha Sarathi Sutradhar, R. Swaminathan, A            Acharya Harihar Regional Cancer Centre, Cuttack (Dillip Kumar
                                                                                                     Talukdar, Ritesh Tapkire, Sopai Tawsik, B. Paul Thaliath, K.T. Har-      Agarwalla, MD, Janmejay Mohapatra, MD, P.C. Pathy, MD, S K
                                                                                                     ichandrakumar, Pampa Ch. Toi, Shyam Tsering, B.B. Tyagi, Ajith           Samantara, MD); Amrita Institute of Medical Sciences and Research,
                                                                                                     Kumar, V.R. Ashok Kumar Vaid, K. Velavan, C.R. Vijay, W.B. Langstieh,    Kochi (Debanarayan Dutta, MD, K. Vijayakumar, MS, Prem Nair, MD,
                                                                                                     Chaitali Wagmere, Meenu Walia, John Zohmingthanga, Eric Zomawia,         K. Pavithran, MD); Apollo Hospital, Bhubaneswar (Manas Ranjan
                                                                                                     and B. Zothankima.                                                       Baisakh, MD); Asian Institute of Medical Sciences, Faridabad (Neetu
                                                                                                                                                                              Singhal, DNB); Assam Medical College, Dibrugarh (H. K. Goswami,
                                                                                                                                                                              MD); BPS Government Medical College for Women, Sonipat (Uma
                                                                                                     Names Listed Alphabetically                                              Garg, MD, Swarn Kaur, MD); Cachar Cancer Hospital, Silchar (Ravi
                                                                                                     Afﬁliations. National Centre for Disease Informatics and Research,       Kannan, MS, Ritesh Tapkire, MS), Cancer Hospital &amp; Research In-
                                                                                                     Indian Council of Medical Research, Bengaluru, India: Prashant           stitute, Gwalior (B.R. Shrivastava, MS); Cancer Institute (WIA), Chennai
                                                                                                     Mathur, DNB, PhD; Krishnan Sathishkumar, MSc; Meesha Cha-                (R. Rama Ranganathan, PhD, R. Swaminathan, PhD); Chittaranjan
                                                                                                     turvedi, MBBS; Priyanka Das, B-Level; Kondalli Lakshminarayana           National Cancer Institute, Kolkata (Partha Nath, MD, Syamsundar
                                                                                                     Sudarshan, MSc; Stephen Santhappan, MSc, MPhil; Vinodh Nallas-           Mandal, PhD); B. Borooah Cancer Institute, Guwahati (M Bhatta-
                                                                                                     amy, MSc, MPhil; Anish John, BE; Sandeep Narasimhan, MSc; and            charyya, MD, Ashok Kumar Das, MS, B J. Saikia, MD, A Talukdar, MS,
                                                                                                     Francis Selvaraj Roselind, MSc.                                          Jagannath Dev Sharma, MD); B.R. Ambedkar Institute Rotary Cancer
                                                                                                                                                                              Hospital, New Delhi (Ajay Gogia, MS, Sunil Kumar, MS, S.V. Sur-
                                                                                                     Population-based cancer registries. Delhi population-based               yanarayana Deo, MS, N. Manoharan, G.K. Rath, MD); Erode Cancer
                                                                                                     cancer registry (PBCR) – B.R. Ambedkar Institute Rotary Cancer           Centre, Thindal, Erode (K. Velavan, MD); Father Muller Medical
                                                                                                     Hospital, All India Institute of Medical Sciences, New Delhi (S.V.       College Hospital, Mangalore (Dinesh Shet, MD); Fortis Memorial
                                                                                          1074 © 2020 by American Society of Clinical Oncology</t>
  </si>
  <si>
    <t xml:space="preserve">Cancer Pattern and Burden in India Under NCRP
                                                                                                      Research Institute, Gurugaon (Vinod Raina, MD, B. B. Tyagi, MS);       Pravara Rural Hospital &amp; Rural Medical College, Loni (Vandana Jain,
                                                                                                      Gandhi Medical College, Bhopal (Atul Shrivastava, Sushma Shriv-        MD, Chaitali Wagmere, MD); Rajiv Gandhi Cancer Institute and Re-
                                                                                                      astava); General Hospital, Ernakulam (Balamuralikrishna, DMRT,         search Centre, New Delhi (Swarima Jaitley, Sudhir Rawal, MS); Re-
                                                                                                      J. Seios, MD, Sunithra Nair, MBBS); Government Medical College,        gional Cancer Centre, Raipur (Pradeep Chandrakar, MD, Vivek
                                                                                                      Thrissur (K.L. Jayakumar, MD, Shehna A. Khader, DNB, M.B.              Choudhary), MD; Regional Cancer Centre, Agartala (Dhritiman Datta,
                                                                                                      Jayaraman, MD, V.R. Ajith Kumar, DMRT); Govt Arignar Anna Me-          MD, Biswajit Debbamma, MD, Partha Sarathi Sutradhar, MD, Gautam
                                                                                                      morial Cancer Hospital &amp; Research Institute, Kanchipuram (P.           Majumdar, MD); Regional Cancer Centre, Thiruvananthapuram
                                                                                                      Anandhi, MD, C.T. Muthukumaran, MBBS); HCG Bangalore Institute         (Preethi Sara George, PhD, Aleyamma Mathew, PhD); Regional
                                                                                                      of Oncology, Bengaluru (BS Ajaikumar, MD, B.S. Ramesh, MD); HCG        Cancer Centre Kamala Nehru Memorial Hospital, Allahabad (Radha
                                                                                                      NMR Cancer Centre, Hubli (Sanjay Mishra, MD); Indira Gandhi In-        Ghosh, DNB, B. Paul Thaliath, MD); Regional Cancer Centre, Indira
                                                                                                      stitute of Medical Sciences, Patna (Sangeeta Pankaj, MD, Rajesh        Gandhi Medial College, Shimla (Manish Gupta, MD, Sudarshan
                                                                                                      Kumar Singh, MD); Indo-American Cancer Institute &amp; Research            Sharma, MD); Regional Institute of Medical Sciences, Imphal (Indibor
                                                                                                      Centre, Hyderabad (G. Dilip Kumar, DNB, Sujith Chayu Patanaik, MS,     Singh, MD, Madhubala Devi, MD, Punyabati Devi, MD, Rajesh Singh
                                                                                                      K. Kalpana Raghunath, MBBS, A. Santa, MD); International Cancer        Laishram, MD); RST Regional Cancer Hospital, Cancer Relief Society,
                                                                                                      Centre, Neyyoor (Prarthana Roselil, MD, V.G. Sudhakaran, MD);          Nagpur (Anjali Kolhe, MD, B.K. Sharma, MD); Rural Development
                                                                                                      Kidwai Memorial Institute of Oncology, Bengaluru (Ramachandra, MS,     Trust, Bathalapalle (N. Hariharanadha Sarma, MD); Sanjay Gandhi
                                                                                                      C. Ramesh, PhD): Mahavir Cancer Sansthan and Research Centre,          Post Graduate Institute of Medical Sciences, Lucknow (Rajesh
                                                                                                      Patna (Richa Chauhan, MD, Ravi Shankar Rajendra, MD, Rita Rani,        Harsvardhan, MD, MD, Rakesh Pandey, MD, Punitalal, MD); SDM
                                                                                                      DNB, Usha Singh, MD); Malabar Cancer Centre, Kannur (T. Bindhu,        College of Dental Sciences and Hospital, Dharwad (Swetha Acharya,
                                                                                                      K. Ratheesan, Saina Sunilkumar, MD); Mandya Institute of Medical       MS, Kaveri Hallikeri, MS); Shakuntala Memorial Hospital &amp; Research
                                                                                                      Sciences, Mandya (S. Shiva Kumar, MS, N. Venkatesh, MD); Max           Centre,, Hubli (Vijay Gadagi, MD, Vinay Gadigi, MD); Sher-I-Kashmir
Downloaded from ascopubs.org by 106.192.54.167 on October 14, 2026 from 106.192.054.167
                                                                                                      Super Specialty Hospital, New Delhi (Anil Kumar Anand, MD, Ram-        Institute of Medical Sciences, Srinagar (Nazir Ahmad Khan, MD, Lone
                                                                                                      andeep Arora, MD); Max Super Specialty Hospital, Patparganj (Geeta     Mohammad Maqbool); St. Johns Medical Hospital, Bengaluru
                                                                                                      Kadayaprath, MS, Meenu Walia, MD); Medanta Cancer Centre,              (Rakesh S Ramesh, DNB); Tata Medical Centre, Kolkata (Indranil
      Copyright © 2026 American Society of Clinical Oncology. All rights reserved.
                                                                                                      Gurugaon (Tejinder Kataria, MD, Ashok Kumar Vaid, MD); MES             Mallick, MD); Tata Memorial Hospital, Mumbai (B. Ganesh, PhD, R.A.
                                                                                                      Medical College &amp; Hospital, Perinthalmanna (K.V. Gangadharan, MD,      Badwe, MS; The Gujarat Cancer &amp; Research Institute, Ahmedabad
                                                                                                      Mujeeb Rahman, MS); Mizoram State Cancer Institute (Civil Hospital),   (Shashank Pandya, MS, Anand Shah, MD); Vydehi Institute of Medical
                                                                                                      Aizwal (K. Lalfakzuala, MD, Lalhlupuii, MD, Doris Lallawmzuali, MD,    Sciences, Bengaluru (M.S. Ganesh, MS, Aruna E. Prasad, MD);
                                                                                                      Cindy Lalthanpuii, MD, Jeremy L. Pautu, MD, B. Zothankima, MD);        JIPMER, Regional Cancer Centre, Puducherry UT (Biswajit Dubashi,
                                                                                                      Narayana Hrudayalaya Health City, Bengaluru (Alben Sigamani, MD);      MD, D. Kadambari, MD, Debasis Gochhait, MD, G.S. Sreenath, MD, K.
                                                                                                      North East Cancer Hospital &amp; Research Institute, Guwahati (Gazi        Gunaseelan, K.T. Harichandrakumar, MD, Latha Chaturvedua, MD,
                                                                                                      Naseem Ahmed, MD, Imliwati Longkumer, D.K. Nath, MD); Post-            Pampa Ch. Toi, MD, Pooja Sethi, MD, Prasanth Penumade, MD, B.H.
                                                                                                      graduate Institute of Medical Education and Research, Chandigarh UT    Srinivas, MD, Sunil Kumar Saxena, MD); Government Medical College,
                                                                                                      (Sushmita Ghosal, MD, R. Kapoor, MD, Narender Kumar, MD);              Jammu (Dinesh Kumar, MD, Ashutosh Gupta, MD).
                                                                                          JCO Global Oncology                                                                                                                               1075</t>
  </si>
</sst>
</file>

<file path=xl/styles.xml><?xml version="1.0" encoding="utf-8"?>
<styleSheet xmlns="http://schemas.openxmlformats.org/spreadsheetml/2006/main">
  <numFmts count="12">
    <numFmt numFmtId="164" formatCode="General"/>
    <numFmt numFmtId="165" formatCode="0"/>
    <numFmt numFmtId="166" formatCode="#,##0"/>
    <numFmt numFmtId="167" formatCode="#,##0.####"/>
    <numFmt numFmtId="168" formatCode="#,##0.####;\-#,##0.####;0"/>
    <numFmt numFmtId="169" formatCode="0.#####"/>
    <numFmt numFmtId="170" formatCode="0.00%"/>
    <numFmt numFmtId="171" formatCode="0.00"/>
    <numFmt numFmtId="172" formatCode="0.0"/>
    <numFmt numFmtId="173" formatCode="0.0%"/>
    <numFmt numFmtId="174" formatCode="0.0;\-0.0;0.0"/>
    <numFmt numFmtId="175" formatCode="#,##0.##"/>
  </numFmts>
  <fonts count="12">
    <font>
      <sz val="11"/>
      <color theme="1"/>
      <name val="Calibri"/>
      <family val="2"/>
      <charset val="1"/>
    </font>
    <font>
      <sz val="10"/>
      <name val="Arial"/>
      <family val="0"/>
    </font>
    <font>
      <sz val="10"/>
      <name val="Arial"/>
      <family val="0"/>
    </font>
    <font>
      <sz val="10"/>
      <name val="Arial"/>
      <family val="0"/>
    </font>
    <font>
      <b val="true"/>
      <sz val="14"/>
      <color rgb="FF1F4E78"/>
      <name val="Calibri"/>
      <family val="0"/>
      <charset val="1"/>
    </font>
    <font>
      <b val="true"/>
      <sz val="11"/>
      <color rgb="FFFFFFFF"/>
      <name val="Calibri"/>
      <family val="0"/>
      <charset val="1"/>
    </font>
    <font>
      <b val="true"/>
      <u val="single"/>
      <sz val="11"/>
      <color rgb="FF0563C1"/>
      <name val="Calibri"/>
      <family val="0"/>
      <charset val="1"/>
    </font>
    <font>
      <sz val="11"/>
      <name val="Calibri"/>
      <family val="0"/>
      <charset val="1"/>
    </font>
    <font>
      <b val="true"/>
      <sz val="11"/>
      <name val="Calibri"/>
      <family val="0"/>
      <charset val="1"/>
    </font>
    <font>
      <b val="true"/>
      <sz val="11"/>
      <color rgb="FFFFFFFF"/>
      <name val="Cambria"/>
      <family val="0"/>
      <charset val="1"/>
    </font>
    <font>
      <b val="true"/>
      <sz val="11"/>
      <name val="Cambria"/>
      <family val="0"/>
      <charset val="1"/>
    </font>
    <font>
      <i val="true"/>
      <sz val="10"/>
      <color rgb="FF595959"/>
      <name val="Calibri"/>
      <family val="0"/>
      <charset val="1"/>
    </font>
  </fonts>
  <fills count="6">
    <fill>
      <patternFill patternType="none"/>
    </fill>
    <fill>
      <patternFill patternType="gray125"/>
    </fill>
    <fill>
      <patternFill patternType="solid">
        <fgColor rgb="FF1F4E78"/>
        <bgColor rgb="FF003366"/>
      </patternFill>
    </fill>
    <fill>
      <patternFill patternType="solid">
        <fgColor rgb="FF548235"/>
        <bgColor rgb="FF339966"/>
      </patternFill>
    </fill>
    <fill>
      <patternFill patternType="solid">
        <fgColor rgb="FFF2F2F2"/>
        <bgColor rgb="FFFFFFFF"/>
      </patternFill>
    </fill>
    <fill>
      <patternFill patternType="solid">
        <fgColor rgb="FFD9E1F2"/>
        <bgColor rgb="FFD9E2F3"/>
      </patternFill>
    </fill>
  </fills>
  <borders count="2">
    <border diagonalUp="false" diagonalDown="false">
      <left/>
      <right/>
      <top/>
      <bottom/>
      <diagonal/>
    </border>
    <border diagonalUp="false" diagonalDown="false">
      <left/>
      <right/>
      <top/>
      <bottom style="thin">
        <color rgb="FFD9E2F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general" vertical="top" textRotation="0" wrapText="true" indent="0" shrinkToFit="false"/>
      <protection locked="true" hidden="false"/>
    </xf>
    <xf numFmtId="166" fontId="7" fillId="0"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7" fontId="7" fillId="0" borderId="0" xfId="0" applyFont="true" applyBorder="false" applyAlignment="true" applyProtection="false">
      <alignment horizontal="general" vertical="top" textRotation="0" wrapText="true" indent="0" shrinkToFit="false"/>
      <protection locked="true" hidden="false"/>
    </xf>
    <xf numFmtId="168" fontId="7" fillId="0" borderId="0" xfId="0" applyFont="true" applyBorder="false" applyAlignment="true" applyProtection="false">
      <alignment horizontal="general" vertical="top" textRotation="0" wrapText="true" indent="0" shrinkToFit="false"/>
      <protection locked="true" hidden="false"/>
    </xf>
    <xf numFmtId="169" fontId="7" fillId="0" borderId="0" xfId="0" applyFont="true" applyBorder="false" applyAlignment="true" applyProtection="false">
      <alignment horizontal="general" vertical="top" textRotation="0" wrapText="true" indent="0" shrinkToFit="false"/>
      <protection locked="true" hidden="false"/>
    </xf>
    <xf numFmtId="164" fontId="8" fillId="4"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6" fontId="0" fillId="0" borderId="1" xfId="0" applyFont="false" applyBorder="true" applyAlignment="true" applyProtection="false">
      <alignment horizontal="general" vertical="top" textRotation="0" wrapText="true" indent="0" shrinkToFit="false"/>
      <protection locked="true" hidden="false"/>
    </xf>
    <xf numFmtId="170" fontId="7" fillId="0" borderId="0" xfId="0" applyFont="true" applyBorder="false" applyAlignment="true" applyProtection="false">
      <alignment horizontal="general" vertical="top" textRotation="0" wrapText="true" indent="0" shrinkToFit="false"/>
      <protection locked="true" hidden="false"/>
    </xf>
    <xf numFmtId="171" fontId="7" fillId="0" borderId="0" xfId="0" applyFont="true" applyBorder="false" applyAlignment="true" applyProtection="false">
      <alignment horizontal="general" vertical="top" textRotation="0" wrapText="true" indent="0" shrinkToFit="false"/>
      <protection locked="true" hidden="false"/>
    </xf>
    <xf numFmtId="166" fontId="8" fillId="4" borderId="0" xfId="0" applyFont="true" applyBorder="fals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70" fontId="8" fillId="4" borderId="0" xfId="0" applyFont="true" applyBorder="false" applyAlignment="true" applyProtection="false">
      <alignment horizontal="general" vertical="top" textRotation="0" wrapText="true" indent="0" shrinkToFit="false"/>
      <protection locked="true" hidden="false"/>
    </xf>
    <xf numFmtId="171" fontId="8" fillId="4"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72" fontId="7" fillId="0" borderId="0" xfId="0" applyFont="true" applyBorder="false" applyAlignment="true" applyProtection="false">
      <alignment horizontal="general" vertical="top" textRotation="0" wrapText="true" indent="0" shrinkToFit="false"/>
      <protection locked="true" hidden="false"/>
    </xf>
    <xf numFmtId="173" fontId="7" fillId="0" borderId="0" xfId="0" applyFont="true" applyBorder="false" applyAlignment="true" applyProtection="false">
      <alignment horizontal="general" vertical="top" textRotation="0" wrapText="true" indent="0" shrinkToFit="false"/>
      <protection locked="true" hidden="false"/>
    </xf>
    <xf numFmtId="166" fontId="8" fillId="0" borderId="0" xfId="0" applyFont="true" applyBorder="false" applyAlignment="true" applyProtection="false">
      <alignment horizontal="general" vertical="top" textRotation="0" wrapText="true" indent="0" shrinkToFit="false"/>
      <protection locked="true" hidden="false"/>
    </xf>
    <xf numFmtId="172" fontId="8" fillId="0" borderId="0" xfId="0" applyFont="true" applyBorder="false" applyAlignment="true" applyProtection="false">
      <alignment horizontal="general" vertical="top" textRotation="0" wrapText="true" indent="0" shrinkToFit="false"/>
      <protection locked="true" hidden="false"/>
    </xf>
    <xf numFmtId="164" fontId="7" fillId="5" borderId="0" xfId="0" applyFont="true" applyBorder="false" applyAlignment="true" applyProtection="false">
      <alignment horizontal="general" vertical="top" textRotation="0" wrapText="true" indent="0" shrinkToFit="false"/>
      <protection locked="true" hidden="false"/>
    </xf>
    <xf numFmtId="166" fontId="7" fillId="5" borderId="0" xfId="0" applyFont="true" applyBorder="false" applyAlignment="true" applyProtection="false">
      <alignment horizontal="general" vertical="top" textRotation="0" wrapText="true" indent="0" shrinkToFit="false"/>
      <protection locked="true" hidden="false"/>
    </xf>
    <xf numFmtId="173" fontId="8" fillId="4" borderId="0" xfId="0" applyFont="true" applyBorder="false" applyAlignment="true" applyProtection="false">
      <alignment horizontal="general" vertical="top" textRotation="0" wrapText="true" indent="0" shrinkToFit="false"/>
      <protection locked="true" hidden="false"/>
    </xf>
    <xf numFmtId="174" fontId="7" fillId="0" borderId="0" xfId="0" applyFont="true" applyBorder="false" applyAlignment="true" applyProtection="false">
      <alignment horizontal="general" vertical="top" textRotation="0" wrapText="true" indent="0" shrinkToFit="false"/>
      <protection locked="true" hidden="false"/>
    </xf>
    <xf numFmtId="172" fontId="8" fillId="4" borderId="0" xfId="0" applyFont="true" applyBorder="false" applyAlignment="true" applyProtection="false">
      <alignment horizontal="general" vertical="top" textRotation="0" wrapText="true" indent="0" shrinkToFit="false"/>
      <protection locked="true" hidden="false"/>
    </xf>
    <xf numFmtId="175"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5" borderId="0" xfId="0" applyFont="true" applyBorder="false" applyAlignment="true" applyProtection="false">
      <alignment horizontal="general" vertical="top" textRotation="0" wrapText="true" indent="0" shrinkToFit="false"/>
      <protection locked="true" hidden="false"/>
    </xf>
    <xf numFmtId="172" fontId="7" fillId="5" borderId="0" xfId="0" applyFont="true" applyBorder="false" applyAlignment="true" applyProtection="false">
      <alignment horizontal="general" vertical="top" textRotation="0" wrapText="true" indent="0" shrinkToFit="false"/>
      <protection locked="true" hidden="false"/>
    </xf>
    <xf numFmtId="173" fontId="8" fillId="0" borderId="0" xfId="0" applyFont="true" applyBorder="false" applyAlignment="true" applyProtection="false">
      <alignment horizontal="general" vertical="top" textRotation="0" wrapText="true" indent="0" shrinkToFit="false"/>
      <protection locked="true" hidden="false"/>
    </xf>
    <xf numFmtId="170"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548235"/>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C0C0C0"/>
      <rgbColor rgb="FF808080"/>
      <rgbColor rgb="FF9999FF"/>
      <rgbColor rgb="FF993366"/>
      <rgbColor rgb="FFF2F2F2"/>
      <rgbColor rgb="FFD9E2F3"/>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final_excel_updated.xlsx" TargetMode="External"/><Relationship Id="rId2" Type="http://schemas.openxmlformats.org/officeDocument/2006/relationships/hyperlink" Target="final_excel_updated.xlsx" TargetMode="External"/><Relationship Id="rId3" Type="http://schemas.openxmlformats.org/officeDocument/2006/relationships/hyperlink" Target="final_excel_updated.xlsx" TargetMode="External"/><Relationship Id="rId4" Type="http://schemas.openxmlformats.org/officeDocument/2006/relationships/hyperlink" Target="final_excel_updated.xlsx" TargetMode="External"/><Relationship Id="rId5" Type="http://schemas.openxmlformats.org/officeDocument/2006/relationships/hyperlink" Target="final_excel_updated.xlsx" TargetMode="External"/><Relationship Id="rId6" Type="http://schemas.openxmlformats.org/officeDocument/2006/relationships/hyperlink" Target="final_excel_updated.xlsx" TargetMode="External"/><Relationship Id="rId7" Type="http://schemas.openxmlformats.org/officeDocument/2006/relationships/hyperlink" Target="final_excel_updated.xlsx" TargetMode="External"/><Relationship Id="rId8" Type="http://schemas.openxmlformats.org/officeDocument/2006/relationships/hyperlink" Target="final_excel_updated.xlsx" TargetMode="External"/><Relationship Id="rId9" Type="http://schemas.openxmlformats.org/officeDocument/2006/relationships/hyperlink" Target="final_excel_updated.xlsx" TargetMode="External"/><Relationship Id="rId10" Type="http://schemas.openxmlformats.org/officeDocument/2006/relationships/hyperlink" Target="final_excel_updated.xlsx" TargetMode="External"/><Relationship Id="rId11" Type="http://schemas.openxmlformats.org/officeDocument/2006/relationships/hyperlink" Target="final_excel_updated.xlsx" TargetMode="External"/><Relationship Id="rId12" Type="http://schemas.openxmlformats.org/officeDocument/2006/relationships/hyperlink" Target="final_excel_updated.xlsx" TargetMode="External"/><Relationship Id="rId13" Type="http://schemas.openxmlformats.org/officeDocument/2006/relationships/hyperlink" Target="final_excel_updated.xlsx" TargetMode="External"/><Relationship Id="rId14" Type="http://schemas.openxmlformats.org/officeDocument/2006/relationships/hyperlink" Target="final_excel_updated.xlsx" TargetMode="External"/><Relationship Id="rId15" Type="http://schemas.openxmlformats.org/officeDocument/2006/relationships/hyperlink" Target="final_excel_updated.xlsx" TargetMode="External"/><Relationship Id="rId16" Type="http://schemas.openxmlformats.org/officeDocument/2006/relationships/hyperlink" Target="final_excel_updated.xlsx" TargetMode="External"/><Relationship Id="rId17" Type="http://schemas.openxmlformats.org/officeDocument/2006/relationships/hyperlink" Target="final_excel_updated.xlsx" TargetMode="External"/><Relationship Id="rId18" Type="http://schemas.openxmlformats.org/officeDocument/2006/relationships/hyperlink" Target="final_excel_updated.xlsx" TargetMode="External"/><Relationship Id="rId19" Type="http://schemas.openxmlformats.org/officeDocument/2006/relationships/hyperlink" Target="final_excel_updated.xlsx" TargetMode="External"/><Relationship Id="rId20" Type="http://schemas.openxmlformats.org/officeDocument/2006/relationships/hyperlink" Target="final_excel_updated.xlsx" TargetMode="External"/><Relationship Id="rId21" Type="http://schemas.openxmlformats.org/officeDocument/2006/relationships/hyperlink" Target="final_excel_updated.xlsx" TargetMode="External"/><Relationship Id="rId22" Type="http://schemas.openxmlformats.org/officeDocument/2006/relationships/hyperlink" Target="final_excel_updated.xlsx" TargetMode="External"/><Relationship Id="rId23" Type="http://schemas.openxmlformats.org/officeDocument/2006/relationships/hyperlink" Target="final_excel_updated.xlsx" TargetMode="External"/><Relationship Id="rId24" Type="http://schemas.openxmlformats.org/officeDocument/2006/relationships/hyperlink" Target="final_excel_updated.xlsx" TargetMode="External"/><Relationship Id="rId25" Type="http://schemas.openxmlformats.org/officeDocument/2006/relationships/hyperlink" Target="final_excel_updated.xlsx" TargetMode="External"/><Relationship Id="rId26" Type="http://schemas.openxmlformats.org/officeDocument/2006/relationships/hyperlink" Target="final_excel_updated.xlsx" TargetMode="External"/><Relationship Id="rId27" Type="http://schemas.openxmlformats.org/officeDocument/2006/relationships/hyperlink" Target="final_excel_updated.xlsx" TargetMode="External"/><Relationship Id="rId28" Type="http://schemas.openxmlformats.org/officeDocument/2006/relationships/hyperlink" Target="final_excel_updated.xlsx" TargetMode="External"/><Relationship Id="rId29" Type="http://schemas.openxmlformats.org/officeDocument/2006/relationships/hyperlink" Target="final_excel_updated.xlsx" TargetMode="Externa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2.xml.rels><?xml version="1.0" encoding="UTF-8"?>
<Relationships xmlns="http://schemas.openxmlformats.org/package/2006/relationships"><Relationship Id="rId1" Type="http://schemas.openxmlformats.org/officeDocument/2006/relationships/drawing" Target="../drawings/drawing9.xml"/>
</Relationships>
</file>

<file path=xl/worksheets/_rels/sheet13.xml.rels><?xml version="1.0" encoding="UTF-8"?>
<Relationships xmlns="http://schemas.openxmlformats.org/package/2006/relationships"><Relationship Id="rId1" Type="http://schemas.openxmlformats.org/officeDocument/2006/relationships/drawing" Target="../drawings/drawing10.xml"/>
</Relationships>
</file>

<file path=xl/worksheets/_rels/sheet14.xml.rels><?xml version="1.0" encoding="UTF-8"?>
<Relationships xmlns="http://schemas.openxmlformats.org/package/2006/relationships"><Relationship Id="rId1" Type="http://schemas.openxmlformats.org/officeDocument/2006/relationships/drawing" Target="../drawings/drawing11.xml"/>
</Relationships>
</file>

<file path=xl/worksheets/_rels/sheet15.xml.rels><?xml version="1.0" encoding="UTF-8"?>
<Relationships xmlns="http://schemas.openxmlformats.org/package/2006/relationships"><Relationship Id="rId1" Type="http://schemas.openxmlformats.org/officeDocument/2006/relationships/drawing" Target="../drawings/drawing12.xml"/>
</Relationships>
</file>

<file path=xl/worksheets/_rels/sheet16.xml.rels><?xml version="1.0" encoding="UTF-8"?>
<Relationships xmlns="http://schemas.openxmlformats.org/package/2006/relationships"><Relationship Id="rId1" Type="http://schemas.openxmlformats.org/officeDocument/2006/relationships/drawing" Target="../drawings/drawing13.xml"/>
</Relationships>
</file>

<file path=xl/worksheets/_rels/sheet17.xml.rels><?xml version="1.0" encoding="UTF-8"?>
<Relationships xmlns="http://schemas.openxmlformats.org/package/2006/relationships"><Relationship Id="rId1" Type="http://schemas.openxmlformats.org/officeDocument/2006/relationships/drawing" Target="../drawings/drawing14.xml"/>
</Relationships>
</file>

<file path=xl/worksheets/_rels/sheet18.xml.rels><?xml version="1.0" encoding="UTF-8"?>
<Relationships xmlns="http://schemas.openxmlformats.org/package/2006/relationships"><Relationship Id="rId1" Type="http://schemas.openxmlformats.org/officeDocument/2006/relationships/drawing" Target="../drawings/drawing15.xml"/>
</Relationships>
</file>

<file path=xl/worksheets/_rels/sheet19.xml.rels><?xml version="1.0" encoding="UTF-8"?>
<Relationships xmlns="http://schemas.openxmlformats.org/package/2006/relationships"><Relationship Id="rId1" Type="http://schemas.openxmlformats.org/officeDocument/2006/relationships/drawing" Target="../drawings/drawing16.xml"/>
</Relationships>
</file>

<file path=xl/worksheets/_rels/sheet21.xml.rels><?xml version="1.0" encoding="UTF-8"?>
<Relationships xmlns="http://schemas.openxmlformats.org/package/2006/relationships"><Relationship Id="rId1" Type="http://schemas.openxmlformats.org/officeDocument/2006/relationships/drawing" Target="../drawings/drawing17.xml"/>
</Relationships>
</file>

<file path=xl/worksheets/_rels/sheet22.xml.rels><?xml version="1.0" encoding="UTF-8"?>
<Relationships xmlns="http://schemas.openxmlformats.org/package/2006/relationships"><Relationship Id="rId1" Type="http://schemas.openxmlformats.org/officeDocument/2006/relationships/drawing" Target="../drawings/drawing18.xml"/>
</Relationships>
</file>

<file path=xl/worksheets/_rels/sheet23.xml.rels><?xml version="1.0" encoding="UTF-8"?>
<Relationships xmlns="http://schemas.openxmlformats.org/package/2006/relationships"><Relationship Id="rId1" Type="http://schemas.openxmlformats.org/officeDocument/2006/relationships/drawing" Target="../drawings/drawing19.xml"/>
</Relationships>
</file>

<file path=xl/worksheets/_rels/sheet24.xml.rels><?xml version="1.0" encoding="UTF-8"?>
<Relationships xmlns="http://schemas.openxmlformats.org/package/2006/relationships"><Relationship Id="rId1" Type="http://schemas.openxmlformats.org/officeDocument/2006/relationships/drawing" Target="../drawings/drawing20.xml"/>
</Relationships>
</file>

<file path=xl/worksheets/_rels/sheet25.xml.rels><?xml version="1.0" encoding="UTF-8"?>
<Relationships xmlns="http://schemas.openxmlformats.org/package/2006/relationships"><Relationship Id="rId1" Type="http://schemas.openxmlformats.org/officeDocument/2006/relationships/drawing" Target="../drawings/drawing21.xml"/>
</Relationships>
</file>

<file path=xl/worksheets/_rels/sheet26.xml.rels><?xml version="1.0" encoding="UTF-8"?>
<Relationships xmlns="http://schemas.openxmlformats.org/package/2006/relationships"><Relationship Id="rId1" Type="http://schemas.openxmlformats.org/officeDocument/2006/relationships/drawing" Target="../drawings/drawing22.xml"/>
</Relationships>
</file>

<file path=xl/worksheets/_rels/sheet27.xml.rels><?xml version="1.0" encoding="UTF-8"?>
<Relationships xmlns="http://schemas.openxmlformats.org/package/2006/relationships"><Relationship Id="rId1" Type="http://schemas.openxmlformats.org/officeDocument/2006/relationships/drawing" Target="../drawings/drawing23.xml"/>
</Relationships>
</file>

<file path=xl/worksheets/_rels/sheet28.xml.rels><?xml version="1.0" encoding="UTF-8"?>
<Relationships xmlns="http://schemas.openxmlformats.org/package/2006/relationships"><Relationship Id="rId1" Type="http://schemas.openxmlformats.org/officeDocument/2006/relationships/drawing" Target="../drawings/drawing24.xml"/>
</Relationships>
</file>

<file path=xl/worksheets/_rels/sheet29.xml.rels><?xml version="1.0" encoding="UTF-8"?>
<Relationships xmlns="http://schemas.openxmlformats.org/package/2006/relationships"><Relationship Id="rId1" Type="http://schemas.openxmlformats.org/officeDocument/2006/relationships/drawing" Target="../drawings/drawing25.xml"/>
</Relationships>
</file>

<file path=xl/worksheets/_rels/sheet30.xml.rels><?xml version="1.0" encoding="UTF-8"?>
<Relationships xmlns="http://schemas.openxmlformats.org/package/2006/relationships"><Relationship Id="rId1" Type="http://schemas.openxmlformats.org/officeDocument/2006/relationships/drawing" Target="../drawings/drawing2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3" min="3" style="0" width="100"/>
    <col collapsed="false" customWidth="true" hidden="false" outlineLevel="0" max="4" min="4" style="0" width="14"/>
    <col collapsed="false" customWidth="true" hidden="false" outlineLevel="0" max="5" min="5" style="0" width="22"/>
  </cols>
  <sheetData>
    <row r="1" customFormat="false" ht="17.35" hidden="false" customHeight="false" outlineLevel="0" collapsed="false">
      <c r="A1" s="1" t="s">
        <v>0</v>
      </c>
    </row>
    <row r="2" customFormat="false" ht="61.5" hidden="false" customHeight="true" outlineLevel="0" collapsed="false">
      <c r="A2" s="2" t="s">
        <v>1</v>
      </c>
      <c r="B2" s="2"/>
      <c r="C2" s="2"/>
      <c r="D2" s="2"/>
      <c r="E2" s="2"/>
    </row>
    <row r="4" customFormat="false" ht="45" hidden="false" customHeight="true" outlineLevel="0" collapsed="false">
      <c r="A4" s="3" t="s">
        <v>2</v>
      </c>
      <c r="B4" s="3" t="s">
        <v>3</v>
      </c>
      <c r="C4" s="3" t="s">
        <v>4</v>
      </c>
      <c r="D4" s="3" t="s">
        <v>5</v>
      </c>
      <c r="E4" s="3" t="s">
        <v>6</v>
      </c>
    </row>
    <row r="5" customFormat="false" ht="15" hidden="false" customHeight="false" outlineLevel="0" collapsed="false">
      <c r="A5" s="4" t="s">
        <v>7</v>
      </c>
      <c r="B5" s="5" t="s">
        <v>8</v>
      </c>
      <c r="C5" s="5" t="s">
        <v>9</v>
      </c>
      <c r="D5" s="5" t="n">
        <v>4</v>
      </c>
      <c r="E5" s="5" t="s">
        <v>10</v>
      </c>
    </row>
    <row r="6" customFormat="false" ht="15" hidden="false" customHeight="false" outlineLevel="0" collapsed="false">
      <c r="A6" s="4" t="s">
        <v>11</v>
      </c>
      <c r="B6" s="5" t="s">
        <v>12</v>
      </c>
      <c r="C6" s="5" t="s">
        <v>13</v>
      </c>
      <c r="D6" s="5" t="n">
        <v>46</v>
      </c>
      <c r="E6" s="5" t="s">
        <v>10</v>
      </c>
    </row>
    <row r="7" customFormat="false" ht="15" hidden="false" customHeight="false" outlineLevel="0" collapsed="false">
      <c r="A7" s="4" t="s">
        <v>14</v>
      </c>
      <c r="B7" s="5" t="s">
        <v>15</v>
      </c>
      <c r="C7" s="5" t="s">
        <v>16</v>
      </c>
      <c r="D7" s="5" t="n">
        <v>24</v>
      </c>
      <c r="E7" s="5" t="s">
        <v>10</v>
      </c>
    </row>
    <row r="8" customFormat="false" ht="15" hidden="false" customHeight="false" outlineLevel="0" collapsed="false">
      <c r="A8" s="4" t="s">
        <v>17</v>
      </c>
      <c r="B8" s="5" t="s">
        <v>8</v>
      </c>
      <c r="C8" s="5" t="s">
        <v>18</v>
      </c>
      <c r="D8" s="5" t="n">
        <v>15</v>
      </c>
      <c r="E8" s="5" t="s">
        <v>10</v>
      </c>
    </row>
    <row r="9" customFormat="false" ht="15" hidden="false" customHeight="false" outlineLevel="0" collapsed="false">
      <c r="A9" s="4" t="s">
        <v>19</v>
      </c>
      <c r="B9" s="5" t="s">
        <v>20</v>
      </c>
      <c r="C9" s="5" t="s">
        <v>21</v>
      </c>
      <c r="D9" s="5" t="n">
        <v>37</v>
      </c>
      <c r="E9" s="5" t="s">
        <v>22</v>
      </c>
    </row>
    <row r="10" customFormat="false" ht="15" hidden="false" customHeight="false" outlineLevel="0" collapsed="false">
      <c r="A10" s="4" t="s">
        <v>23</v>
      </c>
      <c r="B10" s="5" t="s">
        <v>24</v>
      </c>
      <c r="C10" s="5" t="s">
        <v>25</v>
      </c>
      <c r="D10" s="5" t="n">
        <v>55</v>
      </c>
      <c r="E10" s="5" t="s">
        <v>26</v>
      </c>
    </row>
    <row r="11" customFormat="false" ht="15" hidden="false" customHeight="false" outlineLevel="0" collapsed="false">
      <c r="A11" s="4" t="s">
        <v>27</v>
      </c>
      <c r="B11" s="5" t="s">
        <v>28</v>
      </c>
      <c r="C11" s="5" t="s">
        <v>29</v>
      </c>
      <c r="D11" s="5" t="n">
        <v>55</v>
      </c>
      <c r="E11" s="5" t="s">
        <v>26</v>
      </c>
    </row>
    <row r="12" customFormat="false" ht="15" hidden="false" customHeight="false" outlineLevel="0" collapsed="false">
      <c r="A12" s="4" t="s">
        <v>30</v>
      </c>
      <c r="B12" s="5" t="s">
        <v>24</v>
      </c>
      <c r="C12" s="5" t="s">
        <v>31</v>
      </c>
      <c r="D12" s="5" t="n">
        <v>56</v>
      </c>
      <c r="E12" s="5" t="s">
        <v>26</v>
      </c>
    </row>
    <row r="13" customFormat="false" ht="15" hidden="false" customHeight="false" outlineLevel="0" collapsed="false">
      <c r="A13" s="4" t="s">
        <v>32</v>
      </c>
      <c r="B13" s="5" t="s">
        <v>24</v>
      </c>
      <c r="C13" s="5" t="s">
        <v>33</v>
      </c>
      <c r="D13" s="5" t="n">
        <v>20</v>
      </c>
      <c r="E13" s="5" t="s">
        <v>26</v>
      </c>
    </row>
    <row r="14" customFormat="false" ht="15" hidden="false" customHeight="false" outlineLevel="0" collapsed="false">
      <c r="A14" s="4" t="s">
        <v>34</v>
      </c>
      <c r="B14" s="5" t="s">
        <v>24</v>
      </c>
      <c r="C14" s="5" t="s">
        <v>35</v>
      </c>
      <c r="D14" s="5" t="n">
        <v>17</v>
      </c>
      <c r="E14" s="5" t="s">
        <v>26</v>
      </c>
    </row>
    <row r="15" customFormat="false" ht="15" hidden="false" customHeight="false" outlineLevel="0" collapsed="false">
      <c r="A15" s="4" t="s">
        <v>36</v>
      </c>
      <c r="B15" s="5" t="s">
        <v>24</v>
      </c>
      <c r="C15" s="5" t="s">
        <v>37</v>
      </c>
      <c r="D15" s="5" t="n">
        <v>16</v>
      </c>
      <c r="E15" s="5" t="s">
        <v>26</v>
      </c>
    </row>
    <row r="16" customFormat="false" ht="15" hidden="false" customHeight="false" outlineLevel="0" collapsed="false">
      <c r="A16" s="4" t="s">
        <v>38</v>
      </c>
      <c r="B16" s="5" t="s">
        <v>28</v>
      </c>
      <c r="C16" s="5" t="s">
        <v>39</v>
      </c>
      <c r="D16" s="5" t="n">
        <v>32</v>
      </c>
      <c r="E16" s="5" t="s">
        <v>40</v>
      </c>
    </row>
    <row r="17" customFormat="false" ht="15" hidden="false" customHeight="false" outlineLevel="0" collapsed="false">
      <c r="A17" s="4" t="s">
        <v>41</v>
      </c>
      <c r="B17" s="5" t="s">
        <v>28</v>
      </c>
      <c r="C17" s="5" t="s">
        <v>42</v>
      </c>
      <c r="D17" s="5" t="n">
        <v>32</v>
      </c>
      <c r="E17" s="5" t="s">
        <v>40</v>
      </c>
    </row>
    <row r="18" customFormat="false" ht="15" hidden="false" customHeight="false" outlineLevel="0" collapsed="false">
      <c r="A18" s="4" t="s">
        <v>43</v>
      </c>
      <c r="B18" s="5" t="s">
        <v>28</v>
      </c>
      <c r="C18" s="5" t="s">
        <v>44</v>
      </c>
      <c r="D18" s="5" t="n">
        <v>152</v>
      </c>
      <c r="E18" s="5" t="s">
        <v>40</v>
      </c>
    </row>
    <row r="19" customFormat="false" ht="15" hidden="false" customHeight="false" outlineLevel="0" collapsed="false">
      <c r="A19" s="4" t="s">
        <v>45</v>
      </c>
      <c r="B19" s="5" t="s">
        <v>46</v>
      </c>
      <c r="C19" s="5" t="s">
        <v>47</v>
      </c>
      <c r="D19" s="5" t="n">
        <v>14</v>
      </c>
      <c r="E19" s="5" t="s">
        <v>40</v>
      </c>
    </row>
    <row r="20" customFormat="false" ht="15" hidden="false" customHeight="false" outlineLevel="0" collapsed="false">
      <c r="A20" s="4" t="s">
        <v>48</v>
      </c>
      <c r="B20" s="5" t="s">
        <v>24</v>
      </c>
      <c r="C20" s="5" t="s">
        <v>49</v>
      </c>
      <c r="D20" s="5" t="n">
        <v>6</v>
      </c>
      <c r="E20" s="5" t="s">
        <v>26</v>
      </c>
    </row>
    <row r="21" customFormat="false" ht="15" hidden="false" customHeight="false" outlineLevel="0" collapsed="false">
      <c r="A21" s="4" t="s">
        <v>50</v>
      </c>
      <c r="B21" s="5" t="s">
        <v>46</v>
      </c>
      <c r="C21" s="5" t="s">
        <v>51</v>
      </c>
      <c r="D21" s="5" t="n">
        <v>8</v>
      </c>
      <c r="E21" s="5" t="s">
        <v>52</v>
      </c>
    </row>
    <row r="22" customFormat="false" ht="15" hidden="false" customHeight="false" outlineLevel="0" collapsed="false">
      <c r="A22" s="4" t="s">
        <v>53</v>
      </c>
      <c r="B22" s="5" t="s">
        <v>54</v>
      </c>
      <c r="C22" s="5" t="s">
        <v>55</v>
      </c>
      <c r="D22" s="5" t="n">
        <v>7</v>
      </c>
      <c r="E22" s="5" t="s">
        <v>52</v>
      </c>
    </row>
    <row r="23" customFormat="false" ht="15" hidden="false" customHeight="false" outlineLevel="0" collapsed="false">
      <c r="A23" s="4" t="s">
        <v>56</v>
      </c>
      <c r="B23" s="5" t="s">
        <v>54</v>
      </c>
      <c r="C23" s="5" t="s">
        <v>57</v>
      </c>
      <c r="D23" s="5" t="n">
        <v>26</v>
      </c>
      <c r="E23" s="5" t="s">
        <v>52</v>
      </c>
    </row>
    <row r="24" customFormat="false" ht="15" hidden="false" customHeight="false" outlineLevel="0" collapsed="false">
      <c r="A24" s="4" t="s">
        <v>58</v>
      </c>
      <c r="B24" s="5" t="s">
        <v>54</v>
      </c>
      <c r="C24" s="5" t="s">
        <v>59</v>
      </c>
      <c r="D24" s="5" t="n">
        <v>4</v>
      </c>
      <c r="E24" s="5" t="s">
        <v>52</v>
      </c>
    </row>
    <row r="25" customFormat="false" ht="15" hidden="false" customHeight="false" outlineLevel="0" collapsed="false">
      <c r="A25" s="4" t="s">
        <v>60</v>
      </c>
      <c r="B25" s="5" t="s">
        <v>54</v>
      </c>
      <c r="C25" s="5" t="s">
        <v>61</v>
      </c>
      <c r="D25" s="5" t="n">
        <v>15</v>
      </c>
      <c r="E25" s="5" t="s">
        <v>52</v>
      </c>
    </row>
    <row r="26" customFormat="false" ht="15" hidden="false" customHeight="false" outlineLevel="0" collapsed="false">
      <c r="A26" s="4" t="s">
        <v>62</v>
      </c>
      <c r="B26" s="5" t="s">
        <v>54</v>
      </c>
      <c r="C26" s="5" t="s">
        <v>63</v>
      </c>
      <c r="D26" s="5" t="n">
        <v>15</v>
      </c>
      <c r="E26" s="5" t="s">
        <v>52</v>
      </c>
    </row>
    <row r="27" customFormat="false" ht="15" hidden="false" customHeight="false" outlineLevel="0" collapsed="false">
      <c r="A27" s="4" t="s">
        <v>64</v>
      </c>
      <c r="B27" s="5" t="s">
        <v>65</v>
      </c>
      <c r="C27" s="5" t="s">
        <v>66</v>
      </c>
      <c r="D27" s="5" t="n">
        <v>20</v>
      </c>
      <c r="E27" s="5" t="s">
        <v>67</v>
      </c>
    </row>
    <row r="28" customFormat="false" ht="15" hidden="false" customHeight="false" outlineLevel="0" collapsed="false">
      <c r="A28" s="4" t="s">
        <v>68</v>
      </c>
      <c r="B28" s="5" t="s">
        <v>65</v>
      </c>
      <c r="C28" s="5" t="s">
        <v>69</v>
      </c>
      <c r="D28" s="5" t="n">
        <v>21</v>
      </c>
      <c r="E28" s="5" t="s">
        <v>67</v>
      </c>
    </row>
    <row r="29" customFormat="false" ht="15" hidden="false" customHeight="false" outlineLevel="0" collapsed="false">
      <c r="A29" s="4" t="s">
        <v>70</v>
      </c>
      <c r="B29" s="5" t="s">
        <v>65</v>
      </c>
      <c r="C29" s="5" t="s">
        <v>69</v>
      </c>
      <c r="D29" s="5" t="n">
        <v>7</v>
      </c>
      <c r="E29" s="5" t="s">
        <v>67</v>
      </c>
    </row>
    <row r="30" customFormat="false" ht="15" hidden="false" customHeight="false" outlineLevel="0" collapsed="false">
      <c r="A30" s="4" t="s">
        <v>71</v>
      </c>
      <c r="B30" s="5" t="s">
        <v>65</v>
      </c>
      <c r="C30" s="5" t="s">
        <v>69</v>
      </c>
      <c r="D30" s="5" t="n">
        <v>9</v>
      </c>
      <c r="E30" s="5" t="s">
        <v>67</v>
      </c>
    </row>
    <row r="31" customFormat="false" ht="15" hidden="false" customHeight="false" outlineLevel="0" collapsed="false">
      <c r="A31" s="4" t="s">
        <v>72</v>
      </c>
      <c r="B31" s="5" t="s">
        <v>65</v>
      </c>
      <c r="C31" s="5" t="s">
        <v>73</v>
      </c>
      <c r="D31" s="5" t="n">
        <v>12</v>
      </c>
      <c r="E31" s="5" t="s">
        <v>67</v>
      </c>
    </row>
    <row r="32" customFormat="false" ht="15" hidden="false" customHeight="false" outlineLevel="0" collapsed="false">
      <c r="A32" s="4" t="s">
        <v>74</v>
      </c>
      <c r="B32" s="5" t="s">
        <v>12</v>
      </c>
      <c r="C32" s="5" t="s">
        <v>75</v>
      </c>
      <c r="D32" s="5" t="n">
        <v>92</v>
      </c>
      <c r="E32" s="5" t="s">
        <v>76</v>
      </c>
    </row>
    <row r="33" customFormat="false" ht="15" hidden="false" customHeight="false" outlineLevel="0" collapsed="false">
      <c r="A33" s="4" t="s">
        <v>77</v>
      </c>
      <c r="B33" s="5" t="s">
        <v>15</v>
      </c>
      <c r="C33" s="5" t="s">
        <v>78</v>
      </c>
      <c r="D33" s="5" t="n">
        <v>43</v>
      </c>
      <c r="E33" s="5" t="s">
        <v>76</v>
      </c>
    </row>
  </sheetData>
  <mergeCells count="1">
    <mergeCell ref="A2:E2"/>
  </mergeCells>
  <hyperlinks>
    <hyperlink ref="A5" r:id="rId1" location="'Source%20Documents'!A1" display="Source Documents"/>
    <hyperlink ref="A6" r:id="rId2" location="'Key%20Findings%20(3%20PDFs)'!A1" display="Key Findings (3 PDFs)"/>
    <hyperlink ref="A7" r:id="rId3" location="'Cross-Validation'!A1" display="Cross-Validation"/>
    <hyperlink ref="A8" r:id="rId4" location="'Data%20Notes'!A1" display="Data Notes"/>
    <hyperlink ref="A9" r:id="rId5" location="'State-wise%20Incidence'!A1" display="State-wise Incidence"/>
    <hyperlink ref="A10" r:id="rId6" location="'India%20Sites%202022'!A1" display="India Sites 2022"/>
    <hyperlink ref="A11" r:id="rId7" location="'India%20Sites%202020'!A1" display="India Sites 2020"/>
    <hyperlink ref="A12" r:id="rId8" location="'India%20Age-Sex%20Sites'!A1" display="India Age-Sex Sites"/>
    <hyperlink ref="A13" r:id="rId9" location="'India%20Top10%20Sites%202022'!A1" display="India Top10 Sites 2022"/>
    <hyperlink ref="A14" r:id="rId10" location="'India%20Trend%202015-2025'!A1" display="India Trend 2015-2025"/>
    <hyperlink ref="A15" r:id="rId11" location="'India%20Age%20Structure'!A1" display="India Age Structure"/>
    <hyperlink ref="A16" r:id="rId12" location="'PBCR%20Incidence%20Table'!A1" display="PBCR Incidence Table"/>
    <hyperlink ref="A17" r:id="rId13" location="'Tobacco-related%20Cancers'!A1" display="Tobacco-related Cancers"/>
    <hyperlink ref="A18" r:id="rId14" location="'Cancer%20Trends%20(APC)'!A1" display="Cancer Trends (APC)"/>
    <hyperlink ref="A19" r:id="rId15" location="'Clinical%20Stage'!A1" display="Clinical Stage"/>
    <hyperlink ref="A20" r:id="rId16" location="'Method%20Comparison'!A1" display="Method Comparison"/>
    <hyperlink ref="A21" r:id="rId17" location="'MH%20PBCR%20Profile'!A1" display="MH PBCR Profile"/>
    <hyperlink ref="A22" r:id="rId18" location="'MH%20Childhood%20Cancer'!A1" display="MH Childhood Cancer"/>
    <hyperlink ref="A23" r:id="rId19" location="'MH%20Sites%20&amp;%20Tobacco'!A1" display="MH Sites &amp; Tobacco"/>
    <hyperlink ref="A24" r:id="rId20" location="'MH%20Projections'!A1" display="MH Projections"/>
    <hyperlink ref="A25" r:id="rId21" location="'MH%20Socio-Health%20Profile'!A1" display="MH Socio-Health Profile"/>
    <hyperlink ref="A26" r:id="rId22" location="'MH%20Health%20Infrastructure'!A1" display="MH Health Infrastructure"/>
    <hyperlink ref="A27" r:id="rId23" location="'Article%20Details'!A1" display="Article Details"/>
    <hyperlink ref="A28" r:id="rId24" location="'Summary%20&amp;%20Findings'!A1" display="Summary &amp; Findings"/>
    <hyperlink ref="A29" r:id="rId25" location="'Healthcare%20Moderators'!A1" display="Healthcare Moderators"/>
    <hyperlink ref="A30" r:id="rId26" location="'Model%20&amp;%20Forecasts'!A1" display="Model &amp; Forecasts"/>
    <hyperlink ref="A31" r:id="rId27" location="'References'!A1" display="References"/>
    <hyperlink ref="A32" r:id="rId28" location="'Source%20References'!A1" display="Source References"/>
    <hyperlink ref="A33" r:id="rId29" location="'Full%20PDF%20Text'!A1" display="Full PDF Tex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50"/>
    <col collapsed="false" customWidth="true" hidden="false" outlineLevel="0" max="4" min="4" style="0" width="44"/>
    <col collapsed="false" customWidth="true" hidden="false" outlineLevel="0" max="5" min="5" style="0" width="30"/>
    <col collapsed="false" customWidth="true" hidden="false" outlineLevel="0" max="6" min="6" style="0" width="8"/>
    <col collapsed="false" customWidth="true" hidden="false" outlineLevel="0" max="7" min="7" style="0" width="22"/>
    <col collapsed="false" customWidth="true" hidden="false" outlineLevel="0" max="8" min="8" style="0" width="34"/>
    <col collapsed="false" customWidth="true" hidden="false" outlineLevel="0" max="9" min="9" style="0" width="30"/>
    <col collapsed="false" customWidth="true" hidden="false" outlineLevel="0" max="10" min="10" style="0" width="40"/>
    <col collapsed="false" customWidth="true" hidden="false" outlineLevel="0" max="11" min="11" style="0" width="60"/>
  </cols>
  <sheetData>
    <row r="1" customFormat="false" ht="45" hidden="false" customHeight="true" outlineLevel="0" collapsed="false">
      <c r="A1" s="3" t="s">
        <v>79</v>
      </c>
      <c r="B1" s="3" t="s">
        <v>80</v>
      </c>
      <c r="C1" s="3" t="s">
        <v>81</v>
      </c>
      <c r="D1" s="3" t="s">
        <v>82</v>
      </c>
      <c r="E1" s="3" t="s">
        <v>83</v>
      </c>
      <c r="F1" s="3" t="s">
        <v>84</v>
      </c>
      <c r="G1" s="3" t="s">
        <v>85</v>
      </c>
      <c r="H1" s="3" t="s">
        <v>86</v>
      </c>
      <c r="I1" s="3" t="s">
        <v>87</v>
      </c>
      <c r="J1" s="3" t="s">
        <v>88</v>
      </c>
      <c r="K1" s="3" t="s">
        <v>89</v>
      </c>
    </row>
    <row r="2" customFormat="false" ht="41.75" hidden="false" customHeight="false" outlineLevel="0" collapsed="false">
      <c r="A2" s="5" t="s">
        <v>24</v>
      </c>
      <c r="B2" s="5" t="s">
        <v>90</v>
      </c>
      <c r="C2" s="5" t="s">
        <v>91</v>
      </c>
      <c r="D2" s="5" t="s">
        <v>92</v>
      </c>
      <c r="E2" s="5" t="s">
        <v>93</v>
      </c>
      <c r="F2" s="6" t="n">
        <v>2022</v>
      </c>
      <c r="G2" s="5" t="s">
        <v>94</v>
      </c>
      <c r="H2" s="5" t="s">
        <v>95</v>
      </c>
      <c r="I2" s="5" t="s">
        <v>96</v>
      </c>
      <c r="J2" s="5" t="s">
        <v>97</v>
      </c>
      <c r="K2" s="5" t="s">
        <v>98</v>
      </c>
    </row>
    <row r="3" customFormat="false" ht="41.75" hidden="false" customHeight="false" outlineLevel="0" collapsed="false">
      <c r="A3" s="5" t="s">
        <v>54</v>
      </c>
      <c r="B3" s="5" t="s">
        <v>99</v>
      </c>
      <c r="C3" s="5" t="s">
        <v>100</v>
      </c>
      <c r="D3" s="5" t="s">
        <v>101</v>
      </c>
      <c r="E3" s="5" t="s">
        <v>102</v>
      </c>
      <c r="F3" s="6" t="n">
        <v>2021</v>
      </c>
      <c r="G3" s="5" t="s">
        <v>103</v>
      </c>
      <c r="H3" s="5" t="s">
        <v>104</v>
      </c>
      <c r="I3" s="5" t="s">
        <v>105</v>
      </c>
      <c r="J3" s="5" t="s">
        <v>106</v>
      </c>
      <c r="K3" s="5" t="s">
        <v>107</v>
      </c>
    </row>
    <row r="4" customFormat="false" ht="82.05" hidden="false" customHeight="false" outlineLevel="0" collapsed="false">
      <c r="A4" s="5" t="s">
        <v>28</v>
      </c>
      <c r="B4" s="5" t="s">
        <v>108</v>
      </c>
      <c r="C4" s="5" t="s">
        <v>109</v>
      </c>
      <c r="D4" s="5" t="s">
        <v>110</v>
      </c>
      <c r="E4" s="5" t="s">
        <v>111</v>
      </c>
      <c r="F4" s="6" t="n">
        <v>2020</v>
      </c>
      <c r="G4" s="5" t="s">
        <v>112</v>
      </c>
      <c r="H4" s="5" t="s">
        <v>113</v>
      </c>
      <c r="I4" s="5" t="s">
        <v>114</v>
      </c>
      <c r="J4" s="5" t="s">
        <v>115</v>
      </c>
      <c r="K4" s="5" t="s">
        <v>116</v>
      </c>
    </row>
    <row r="5" customFormat="false" ht="41.75" hidden="false" customHeight="false" outlineLevel="0" collapsed="false">
      <c r="A5" s="5" t="s">
        <v>65</v>
      </c>
      <c r="B5" s="5" t="s">
        <v>117</v>
      </c>
      <c r="C5" s="5" t="s">
        <v>118</v>
      </c>
      <c r="D5" s="5" t="s">
        <v>119</v>
      </c>
      <c r="E5" s="5" t="s">
        <v>120</v>
      </c>
      <c r="F5" s="6" t="n">
        <v>2026</v>
      </c>
      <c r="G5" s="5" t="s">
        <v>121</v>
      </c>
      <c r="H5" s="5" t="s">
        <v>122</v>
      </c>
      <c r="I5" s="5" t="s">
        <v>123</v>
      </c>
      <c r="J5" s="5" t="s">
        <v>124</v>
      </c>
      <c r="K5" s="5" t="s">
        <v>125</v>
      </c>
    </row>
  </sheetData>
  <autoFilter ref="A1:K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40"/>
    <col collapsed="false" customWidth="true" hidden="false" outlineLevel="0" max="4" min="4" style="0" width="52"/>
    <col collapsed="false" customWidth="true" hidden="false" outlineLevel="0" max="5" min="5" style="0" width="20"/>
    <col collapsed="false" customWidth="true" hidden="false" outlineLevel="0" max="6" min="6" style="0" width="70"/>
    <col collapsed="false" customWidth="true" hidden="false" outlineLevel="0" max="7" min="7" style="0" width="14"/>
  </cols>
  <sheetData>
    <row r="1" customFormat="false" ht="45" hidden="false" customHeight="true" outlineLevel="0" collapsed="false">
      <c r="A1" s="3" t="s">
        <v>3</v>
      </c>
      <c r="B1" s="3" t="s">
        <v>126</v>
      </c>
      <c r="C1" s="3" t="s">
        <v>127</v>
      </c>
      <c r="D1" s="3" t="s">
        <v>128</v>
      </c>
      <c r="E1" s="3" t="s">
        <v>129</v>
      </c>
      <c r="F1" s="3" t="s">
        <v>130</v>
      </c>
      <c r="G1" s="3" t="s">
        <v>131</v>
      </c>
    </row>
    <row r="2" customFormat="false" ht="15" hidden="false" customHeight="false" outlineLevel="0" collapsed="false">
      <c r="A2" s="5" t="s">
        <v>132</v>
      </c>
      <c r="B2" s="5" t="s">
        <v>133</v>
      </c>
      <c r="C2" s="5" t="s">
        <v>134</v>
      </c>
      <c r="D2" s="7" t="n">
        <v>1461427</v>
      </c>
      <c r="E2" s="5" t="s">
        <v>135</v>
      </c>
      <c r="F2" s="5" t="s">
        <v>136</v>
      </c>
      <c r="G2" s="5" t="s">
        <v>137</v>
      </c>
    </row>
    <row r="3" customFormat="false" ht="15" hidden="false" customHeight="false" outlineLevel="0" collapsed="false">
      <c r="A3" s="5" t="s">
        <v>132</v>
      </c>
      <c r="B3" s="5" t="s">
        <v>133</v>
      </c>
      <c r="C3" s="5" t="s">
        <v>138</v>
      </c>
      <c r="D3" s="7" t="n">
        <v>749251</v>
      </c>
      <c r="E3" s="5" t="s">
        <v>135</v>
      </c>
      <c r="F3" s="5" t="s">
        <v>139</v>
      </c>
      <c r="G3" s="5" t="s">
        <v>140</v>
      </c>
    </row>
    <row r="4" customFormat="false" ht="15" hidden="false" customHeight="false" outlineLevel="0" collapsed="false">
      <c r="A4" s="5" t="s">
        <v>132</v>
      </c>
      <c r="B4" s="5" t="s">
        <v>133</v>
      </c>
      <c r="C4" s="5" t="s">
        <v>141</v>
      </c>
      <c r="D4" s="7" t="n">
        <v>712176</v>
      </c>
      <c r="E4" s="5" t="s">
        <v>135</v>
      </c>
      <c r="F4" s="5" t="s">
        <v>142</v>
      </c>
      <c r="G4" s="5" t="s">
        <v>140</v>
      </c>
    </row>
    <row r="5" customFormat="false" ht="15" hidden="false" customHeight="false" outlineLevel="0" collapsed="false">
      <c r="A5" s="5" t="s">
        <v>132</v>
      </c>
      <c r="B5" s="5" t="s">
        <v>143</v>
      </c>
      <c r="C5" s="5" t="s">
        <v>144</v>
      </c>
      <c r="D5" s="5" t="s">
        <v>145</v>
      </c>
      <c r="E5" s="5"/>
      <c r="F5" s="5" t="s">
        <v>146</v>
      </c>
      <c r="G5" s="5" t="s">
        <v>137</v>
      </c>
    </row>
    <row r="6" customFormat="false" ht="28.35" hidden="false" customHeight="false" outlineLevel="0" collapsed="false">
      <c r="A6" s="5" t="s">
        <v>132</v>
      </c>
      <c r="B6" s="5" t="s">
        <v>133</v>
      </c>
      <c r="C6" s="5" t="s">
        <v>147</v>
      </c>
      <c r="D6" s="5" t="s">
        <v>148</v>
      </c>
      <c r="E6" s="5" t="s">
        <v>135</v>
      </c>
      <c r="F6" s="5" t="s">
        <v>149</v>
      </c>
      <c r="G6" s="5" t="s">
        <v>140</v>
      </c>
    </row>
    <row r="7" customFormat="false" ht="15" hidden="false" customHeight="false" outlineLevel="0" collapsed="false">
      <c r="A7" s="5" t="s">
        <v>132</v>
      </c>
      <c r="B7" s="5" t="s">
        <v>150</v>
      </c>
      <c r="C7" s="5" t="s">
        <v>151</v>
      </c>
      <c r="D7" s="5" t="s">
        <v>152</v>
      </c>
      <c r="E7" s="5" t="s">
        <v>153</v>
      </c>
      <c r="F7" s="5" t="s">
        <v>154</v>
      </c>
      <c r="G7" s="5" t="s">
        <v>140</v>
      </c>
    </row>
    <row r="8" customFormat="false" ht="15" hidden="false" customHeight="false" outlineLevel="0" collapsed="false">
      <c r="A8" s="5" t="s">
        <v>132</v>
      </c>
      <c r="B8" s="5" t="s">
        <v>150</v>
      </c>
      <c r="C8" s="5" t="s">
        <v>155</v>
      </c>
      <c r="D8" s="5" t="s">
        <v>156</v>
      </c>
      <c r="E8" s="5" t="s">
        <v>157</v>
      </c>
      <c r="F8" s="5" t="s">
        <v>158</v>
      </c>
      <c r="G8" s="5" t="s">
        <v>140</v>
      </c>
    </row>
    <row r="9" customFormat="false" ht="28.35" hidden="false" customHeight="false" outlineLevel="0" collapsed="false">
      <c r="A9" s="5" t="s">
        <v>132</v>
      </c>
      <c r="B9" s="5" t="s">
        <v>159</v>
      </c>
      <c r="C9" s="5" t="s">
        <v>160</v>
      </c>
      <c r="D9" s="5" t="s">
        <v>161</v>
      </c>
      <c r="E9" s="5"/>
      <c r="F9" s="5" t="s">
        <v>162</v>
      </c>
      <c r="G9" s="5" t="s">
        <v>163</v>
      </c>
    </row>
    <row r="10" customFormat="false" ht="28.35" hidden="false" customHeight="false" outlineLevel="0" collapsed="false">
      <c r="A10" s="5" t="s">
        <v>132</v>
      </c>
      <c r="B10" s="5" t="s">
        <v>159</v>
      </c>
      <c r="C10" s="5" t="s">
        <v>164</v>
      </c>
      <c r="D10" s="5" t="s">
        <v>165</v>
      </c>
      <c r="E10" s="5" t="s">
        <v>166</v>
      </c>
      <c r="F10" s="5" t="s">
        <v>167</v>
      </c>
      <c r="G10" s="5" t="s">
        <v>168</v>
      </c>
    </row>
    <row r="11" customFormat="false" ht="28.35" hidden="false" customHeight="false" outlineLevel="0" collapsed="false">
      <c r="A11" s="5" t="s">
        <v>132</v>
      </c>
      <c r="B11" s="5" t="s">
        <v>169</v>
      </c>
      <c r="C11" s="5" t="s">
        <v>170</v>
      </c>
      <c r="D11" s="5" t="s">
        <v>171</v>
      </c>
      <c r="E11" s="5" t="s">
        <v>135</v>
      </c>
      <c r="F11" s="5" t="s">
        <v>172</v>
      </c>
      <c r="G11" s="5" t="s">
        <v>173</v>
      </c>
    </row>
    <row r="12" customFormat="false" ht="28.35" hidden="false" customHeight="false" outlineLevel="0" collapsed="false">
      <c r="A12" s="5" t="s">
        <v>132</v>
      </c>
      <c r="B12" s="5" t="s">
        <v>169</v>
      </c>
      <c r="C12" s="5" t="s">
        <v>174</v>
      </c>
      <c r="D12" s="5" t="s">
        <v>175</v>
      </c>
      <c r="E12" s="5"/>
      <c r="F12" s="5" t="s">
        <v>176</v>
      </c>
      <c r="G12" s="5" t="s">
        <v>140</v>
      </c>
    </row>
    <row r="13" customFormat="false" ht="15" hidden="false" customHeight="false" outlineLevel="0" collapsed="false">
      <c r="A13" s="5" t="s">
        <v>132</v>
      </c>
      <c r="B13" s="5" t="s">
        <v>169</v>
      </c>
      <c r="C13" s="5" t="s">
        <v>177</v>
      </c>
      <c r="D13" s="5" t="s">
        <v>178</v>
      </c>
      <c r="E13" s="5" t="s">
        <v>135</v>
      </c>
      <c r="F13" s="5"/>
      <c r="G13" s="5" t="s">
        <v>140</v>
      </c>
    </row>
    <row r="14" customFormat="false" ht="15" hidden="false" customHeight="false" outlineLevel="0" collapsed="false">
      <c r="A14" s="5" t="s">
        <v>132</v>
      </c>
      <c r="B14" s="5" t="s">
        <v>179</v>
      </c>
      <c r="C14" s="5" t="s">
        <v>180</v>
      </c>
      <c r="D14" s="5" t="s">
        <v>181</v>
      </c>
      <c r="E14" s="5"/>
      <c r="F14" s="5" t="s">
        <v>182</v>
      </c>
      <c r="G14" s="5" t="s">
        <v>137</v>
      </c>
    </row>
    <row r="15" customFormat="false" ht="15" hidden="false" customHeight="false" outlineLevel="0" collapsed="false">
      <c r="A15" s="5" t="s">
        <v>132</v>
      </c>
      <c r="B15" s="5" t="s">
        <v>179</v>
      </c>
      <c r="C15" s="5" t="s">
        <v>183</v>
      </c>
      <c r="D15" s="5" t="s">
        <v>184</v>
      </c>
      <c r="E15" s="5" t="s">
        <v>135</v>
      </c>
      <c r="F15" s="5" t="s">
        <v>185</v>
      </c>
      <c r="G15" s="5" t="s">
        <v>186</v>
      </c>
    </row>
    <row r="16" customFormat="false" ht="15" hidden="false" customHeight="false" outlineLevel="0" collapsed="false">
      <c r="A16" s="5" t="s">
        <v>132</v>
      </c>
      <c r="B16" s="5" t="s">
        <v>187</v>
      </c>
      <c r="C16" s="5" t="s">
        <v>188</v>
      </c>
      <c r="D16" s="5" t="s">
        <v>189</v>
      </c>
      <c r="E16" s="5"/>
      <c r="F16" s="5" t="s">
        <v>190</v>
      </c>
      <c r="G16" s="5" t="s">
        <v>191</v>
      </c>
    </row>
    <row r="17" customFormat="false" ht="15" hidden="false" customHeight="false" outlineLevel="0" collapsed="false">
      <c r="A17" s="5" t="s">
        <v>132</v>
      </c>
      <c r="B17" s="5" t="s">
        <v>187</v>
      </c>
      <c r="C17" s="5" t="s">
        <v>192</v>
      </c>
      <c r="D17" s="7" t="n">
        <v>103371</v>
      </c>
      <c r="E17" s="5" t="s">
        <v>135</v>
      </c>
      <c r="F17" s="5" t="s">
        <v>193</v>
      </c>
      <c r="G17" s="5" t="s">
        <v>191</v>
      </c>
    </row>
    <row r="18" customFormat="false" ht="28.35" hidden="false" customHeight="false" outlineLevel="0" collapsed="false">
      <c r="A18" s="5" t="s">
        <v>132</v>
      </c>
      <c r="B18" s="5" t="s">
        <v>187</v>
      </c>
      <c r="C18" s="5" t="s">
        <v>194</v>
      </c>
      <c r="D18" s="5" t="s">
        <v>195</v>
      </c>
      <c r="E18" s="5"/>
      <c r="F18" s="5" t="s">
        <v>196</v>
      </c>
      <c r="G18" s="5" t="s">
        <v>197</v>
      </c>
    </row>
    <row r="19" customFormat="false" ht="15" hidden="false" customHeight="false" outlineLevel="0" collapsed="false">
      <c r="A19" s="5" t="s">
        <v>132</v>
      </c>
      <c r="B19" s="5" t="s">
        <v>198</v>
      </c>
      <c r="C19" s="5" t="s">
        <v>199</v>
      </c>
      <c r="D19" s="5" t="s">
        <v>200</v>
      </c>
      <c r="E19" s="5"/>
      <c r="F19" s="5" t="s">
        <v>201</v>
      </c>
      <c r="G19" s="5" t="s">
        <v>202</v>
      </c>
    </row>
    <row r="20" customFormat="false" ht="28.35" hidden="false" customHeight="false" outlineLevel="0" collapsed="false">
      <c r="A20" s="5" t="s">
        <v>132</v>
      </c>
      <c r="B20" s="5" t="s">
        <v>203</v>
      </c>
      <c r="C20" s="5" t="s">
        <v>204</v>
      </c>
      <c r="D20" s="5" t="s">
        <v>205</v>
      </c>
      <c r="E20" s="5"/>
      <c r="F20" s="5" t="s">
        <v>206</v>
      </c>
      <c r="G20" s="5" t="s">
        <v>207</v>
      </c>
    </row>
    <row r="21" customFormat="false" ht="28.35" hidden="false" customHeight="false" outlineLevel="0" collapsed="false">
      <c r="A21" s="5" t="s">
        <v>132</v>
      </c>
      <c r="B21" s="5" t="s">
        <v>208</v>
      </c>
      <c r="C21" s="5" t="s">
        <v>209</v>
      </c>
      <c r="D21" s="5" t="s">
        <v>210</v>
      </c>
      <c r="E21" s="5"/>
      <c r="F21" s="5" t="s">
        <v>211</v>
      </c>
      <c r="G21" s="5" t="s">
        <v>212</v>
      </c>
    </row>
    <row r="22" customFormat="false" ht="41.75" hidden="false" customHeight="false" outlineLevel="0" collapsed="false">
      <c r="A22" s="5" t="s">
        <v>132</v>
      </c>
      <c r="B22" s="5" t="s">
        <v>213</v>
      </c>
      <c r="C22" s="5" t="s">
        <v>214</v>
      </c>
      <c r="D22" s="5" t="s">
        <v>215</v>
      </c>
      <c r="E22" s="5"/>
      <c r="F22" s="5" t="s">
        <v>216</v>
      </c>
      <c r="G22" s="5" t="s">
        <v>202</v>
      </c>
    </row>
    <row r="23" customFormat="false" ht="15" hidden="false" customHeight="false" outlineLevel="0" collapsed="false">
      <c r="A23" s="5" t="s">
        <v>132</v>
      </c>
      <c r="B23" s="5" t="s">
        <v>133</v>
      </c>
      <c r="C23" s="5" t="s">
        <v>217</v>
      </c>
      <c r="D23" s="5" t="s">
        <v>218</v>
      </c>
      <c r="E23" s="5" t="s">
        <v>219</v>
      </c>
      <c r="F23" s="5" t="s">
        <v>220</v>
      </c>
      <c r="G23" s="5" t="s">
        <v>168</v>
      </c>
    </row>
    <row r="24" customFormat="false" ht="28.35" hidden="false" customHeight="false" outlineLevel="0" collapsed="false">
      <c r="A24" s="5" t="s">
        <v>221</v>
      </c>
      <c r="B24" s="5" t="s">
        <v>179</v>
      </c>
      <c r="C24" s="5" t="s">
        <v>222</v>
      </c>
      <c r="D24" s="7" t="n">
        <v>1392179</v>
      </c>
      <c r="E24" s="5" t="s">
        <v>135</v>
      </c>
      <c r="F24" s="5" t="s">
        <v>223</v>
      </c>
      <c r="G24" s="5" t="s">
        <v>224</v>
      </c>
    </row>
    <row r="25" customFormat="false" ht="15" hidden="false" customHeight="false" outlineLevel="0" collapsed="false">
      <c r="A25" s="5" t="s">
        <v>221</v>
      </c>
      <c r="B25" s="5" t="s">
        <v>143</v>
      </c>
      <c r="C25" s="5" t="s">
        <v>225</v>
      </c>
      <c r="D25" s="5" t="s">
        <v>226</v>
      </c>
      <c r="E25" s="5"/>
      <c r="F25" s="5" t="s">
        <v>227</v>
      </c>
      <c r="G25" s="5" t="s">
        <v>228</v>
      </c>
    </row>
    <row r="26" customFormat="false" ht="41.75" hidden="false" customHeight="false" outlineLevel="0" collapsed="false">
      <c r="A26" s="5" t="s">
        <v>221</v>
      </c>
      <c r="B26" s="5" t="s">
        <v>150</v>
      </c>
      <c r="C26" s="5" t="s">
        <v>229</v>
      </c>
      <c r="D26" s="5" t="s">
        <v>230</v>
      </c>
      <c r="E26" s="5"/>
      <c r="F26" s="5"/>
      <c r="G26" s="5" t="s">
        <v>228</v>
      </c>
    </row>
    <row r="27" customFormat="false" ht="28.35" hidden="false" customHeight="false" outlineLevel="0" collapsed="false">
      <c r="A27" s="5" t="s">
        <v>221</v>
      </c>
      <c r="B27" s="5" t="s">
        <v>231</v>
      </c>
      <c r="C27" s="5" t="s">
        <v>232</v>
      </c>
      <c r="D27" s="5" t="s">
        <v>233</v>
      </c>
      <c r="E27" s="5" t="s">
        <v>234</v>
      </c>
      <c r="F27" s="5" t="s">
        <v>235</v>
      </c>
      <c r="G27" s="5" t="s">
        <v>236</v>
      </c>
    </row>
    <row r="28" customFormat="false" ht="28.35" hidden="false" customHeight="false" outlineLevel="0" collapsed="false">
      <c r="A28" s="5" t="s">
        <v>221</v>
      </c>
      <c r="B28" s="5" t="s">
        <v>231</v>
      </c>
      <c r="C28" s="5" t="s">
        <v>237</v>
      </c>
      <c r="D28" s="5" t="s">
        <v>238</v>
      </c>
      <c r="E28" s="5" t="s">
        <v>234</v>
      </c>
      <c r="F28" s="5"/>
      <c r="G28" s="5" t="s">
        <v>236</v>
      </c>
    </row>
    <row r="29" customFormat="false" ht="28.35" hidden="false" customHeight="false" outlineLevel="0" collapsed="false">
      <c r="A29" s="5" t="s">
        <v>221</v>
      </c>
      <c r="B29" s="5" t="s">
        <v>231</v>
      </c>
      <c r="C29" s="5" t="s">
        <v>239</v>
      </c>
      <c r="D29" s="5" t="s">
        <v>240</v>
      </c>
      <c r="E29" s="5" t="s">
        <v>234</v>
      </c>
      <c r="F29" s="5" t="s">
        <v>241</v>
      </c>
      <c r="G29" s="5" t="s">
        <v>242</v>
      </c>
    </row>
    <row r="30" customFormat="false" ht="28.35" hidden="false" customHeight="false" outlineLevel="0" collapsed="false">
      <c r="A30" s="5" t="s">
        <v>221</v>
      </c>
      <c r="B30" s="5" t="s">
        <v>231</v>
      </c>
      <c r="C30" s="5" t="s">
        <v>243</v>
      </c>
      <c r="D30" s="5" t="s">
        <v>244</v>
      </c>
      <c r="E30" s="5"/>
      <c r="F30" s="5" t="s">
        <v>245</v>
      </c>
      <c r="G30" s="5" t="s">
        <v>236</v>
      </c>
    </row>
    <row r="31" customFormat="false" ht="28.35" hidden="false" customHeight="false" outlineLevel="0" collapsed="false">
      <c r="A31" s="5" t="s">
        <v>221</v>
      </c>
      <c r="B31" s="5" t="s">
        <v>246</v>
      </c>
      <c r="C31" s="5" t="s">
        <v>247</v>
      </c>
      <c r="D31" s="5" t="s">
        <v>248</v>
      </c>
      <c r="E31" s="5" t="s">
        <v>249</v>
      </c>
      <c r="F31" s="5" t="s">
        <v>250</v>
      </c>
      <c r="G31" s="5" t="s">
        <v>251</v>
      </c>
    </row>
    <row r="32" customFormat="false" ht="28.35" hidden="false" customHeight="false" outlineLevel="0" collapsed="false">
      <c r="A32" s="5" t="s">
        <v>221</v>
      </c>
      <c r="B32" s="5" t="s">
        <v>252</v>
      </c>
      <c r="C32" s="5" t="s">
        <v>253</v>
      </c>
      <c r="D32" s="5" t="s">
        <v>254</v>
      </c>
      <c r="E32" s="5"/>
      <c r="F32" s="5" t="s">
        <v>255</v>
      </c>
      <c r="G32" s="5" t="s">
        <v>256</v>
      </c>
    </row>
    <row r="33" customFormat="false" ht="28.35" hidden="false" customHeight="false" outlineLevel="0" collapsed="false">
      <c r="A33" s="5" t="s">
        <v>221</v>
      </c>
      <c r="B33" s="5" t="s">
        <v>257</v>
      </c>
      <c r="C33" s="5" t="s">
        <v>258</v>
      </c>
      <c r="D33" s="5" t="s">
        <v>259</v>
      </c>
      <c r="E33" s="5" t="s">
        <v>249</v>
      </c>
      <c r="F33" s="5" t="s">
        <v>260</v>
      </c>
      <c r="G33" s="5" t="s">
        <v>261</v>
      </c>
    </row>
    <row r="34" customFormat="false" ht="28.35" hidden="false" customHeight="false" outlineLevel="0" collapsed="false">
      <c r="A34" s="5" t="s">
        <v>221</v>
      </c>
      <c r="B34" s="5" t="s">
        <v>262</v>
      </c>
      <c r="C34" s="5" t="s">
        <v>263</v>
      </c>
      <c r="D34" s="5" t="s">
        <v>264</v>
      </c>
      <c r="E34" s="5" t="s">
        <v>249</v>
      </c>
      <c r="F34" s="5" t="s">
        <v>265</v>
      </c>
      <c r="G34" s="5" t="s">
        <v>266</v>
      </c>
    </row>
    <row r="35" customFormat="false" ht="41.75" hidden="false" customHeight="false" outlineLevel="0" collapsed="false">
      <c r="A35" s="5" t="s">
        <v>221</v>
      </c>
      <c r="B35" s="5" t="s">
        <v>267</v>
      </c>
      <c r="C35" s="5" t="s">
        <v>268</v>
      </c>
      <c r="D35" s="5" t="s">
        <v>269</v>
      </c>
      <c r="E35" s="5" t="s">
        <v>270</v>
      </c>
      <c r="F35" s="5" t="s">
        <v>271</v>
      </c>
      <c r="G35" s="5" t="s">
        <v>261</v>
      </c>
    </row>
    <row r="36" customFormat="false" ht="41.75" hidden="false" customHeight="false" outlineLevel="0" collapsed="false">
      <c r="A36" s="5" t="s">
        <v>221</v>
      </c>
      <c r="B36" s="5" t="s">
        <v>272</v>
      </c>
      <c r="C36" s="5" t="s">
        <v>273</v>
      </c>
      <c r="D36" s="5" t="s">
        <v>274</v>
      </c>
      <c r="E36" s="5"/>
      <c r="F36" s="5" t="s">
        <v>275</v>
      </c>
      <c r="G36" s="5" t="s">
        <v>276</v>
      </c>
    </row>
    <row r="37" customFormat="false" ht="28.35" hidden="false" customHeight="false" outlineLevel="0" collapsed="false">
      <c r="A37" s="5" t="s">
        <v>221</v>
      </c>
      <c r="B37" s="5" t="s">
        <v>203</v>
      </c>
      <c r="C37" s="5" t="s">
        <v>277</v>
      </c>
      <c r="D37" s="5" t="s">
        <v>278</v>
      </c>
      <c r="E37" s="5"/>
      <c r="F37" s="5" t="s">
        <v>279</v>
      </c>
      <c r="G37" s="5" t="s">
        <v>280</v>
      </c>
    </row>
    <row r="38" customFormat="false" ht="28.35" hidden="false" customHeight="false" outlineLevel="0" collapsed="false">
      <c r="A38" s="5" t="s">
        <v>221</v>
      </c>
      <c r="B38" s="5" t="s">
        <v>187</v>
      </c>
      <c r="C38" s="5" t="s">
        <v>281</v>
      </c>
      <c r="D38" s="5" t="s">
        <v>282</v>
      </c>
      <c r="E38" s="5" t="s">
        <v>135</v>
      </c>
      <c r="F38" s="5" t="s">
        <v>283</v>
      </c>
      <c r="G38" s="5" t="s">
        <v>284</v>
      </c>
    </row>
    <row r="39" customFormat="false" ht="28.35" hidden="false" customHeight="false" outlineLevel="0" collapsed="false">
      <c r="A39" s="5" t="s">
        <v>221</v>
      </c>
      <c r="B39" s="5" t="s">
        <v>285</v>
      </c>
      <c r="C39" s="5" t="s">
        <v>286</v>
      </c>
      <c r="D39" s="5" t="s">
        <v>287</v>
      </c>
      <c r="E39" s="5"/>
      <c r="F39" s="5" t="s">
        <v>288</v>
      </c>
      <c r="G39" s="5" t="s">
        <v>289</v>
      </c>
    </row>
    <row r="40" customFormat="false" ht="28.35" hidden="false" customHeight="false" outlineLevel="0" collapsed="false">
      <c r="A40" s="5" t="s">
        <v>221</v>
      </c>
      <c r="B40" s="5" t="s">
        <v>290</v>
      </c>
      <c r="C40" s="5" t="s">
        <v>291</v>
      </c>
      <c r="D40" s="5" t="s">
        <v>292</v>
      </c>
      <c r="E40" s="5"/>
      <c r="F40" s="5"/>
      <c r="G40" s="5" t="s">
        <v>293</v>
      </c>
    </row>
    <row r="41" customFormat="false" ht="28.35" hidden="false" customHeight="false" outlineLevel="0" collapsed="false">
      <c r="A41" s="5" t="s">
        <v>294</v>
      </c>
      <c r="B41" s="5" t="s">
        <v>290</v>
      </c>
      <c r="C41" s="5" t="s">
        <v>295</v>
      </c>
      <c r="D41" s="5" t="s">
        <v>296</v>
      </c>
      <c r="E41" s="5"/>
      <c r="F41" s="5"/>
      <c r="G41" s="5" t="s">
        <v>297</v>
      </c>
    </row>
    <row r="42" customFormat="false" ht="28.35" hidden="false" customHeight="false" outlineLevel="0" collapsed="false">
      <c r="A42" s="5" t="s">
        <v>294</v>
      </c>
      <c r="B42" s="5" t="s">
        <v>298</v>
      </c>
      <c r="C42" s="5" t="s">
        <v>299</v>
      </c>
      <c r="D42" s="5" t="s">
        <v>300</v>
      </c>
      <c r="E42" s="5"/>
      <c r="F42" s="5" t="s">
        <v>301</v>
      </c>
      <c r="G42" s="5" t="s">
        <v>302</v>
      </c>
    </row>
    <row r="43" customFormat="false" ht="28.35" hidden="false" customHeight="false" outlineLevel="0" collapsed="false">
      <c r="A43" s="5" t="s">
        <v>294</v>
      </c>
      <c r="B43" s="5" t="s">
        <v>143</v>
      </c>
      <c r="C43" s="5" t="s">
        <v>303</v>
      </c>
      <c r="D43" s="5" t="s">
        <v>304</v>
      </c>
      <c r="E43" s="5"/>
      <c r="F43" s="5"/>
      <c r="G43" s="5" t="s">
        <v>305</v>
      </c>
    </row>
    <row r="44" customFormat="false" ht="41.75" hidden="false" customHeight="false" outlineLevel="0" collapsed="false">
      <c r="A44" s="5" t="s">
        <v>294</v>
      </c>
      <c r="B44" s="5" t="s">
        <v>150</v>
      </c>
      <c r="C44" s="5" t="s">
        <v>306</v>
      </c>
      <c r="D44" s="5" t="s">
        <v>307</v>
      </c>
      <c r="E44" s="5" t="s">
        <v>249</v>
      </c>
      <c r="F44" s="5" t="s">
        <v>308</v>
      </c>
      <c r="G44" s="5" t="s">
        <v>305</v>
      </c>
    </row>
    <row r="45" customFormat="false" ht="15" hidden="false" customHeight="false" outlineLevel="0" collapsed="false">
      <c r="A45" s="5" t="s">
        <v>294</v>
      </c>
      <c r="B45" s="5" t="s">
        <v>246</v>
      </c>
      <c r="C45" s="5" t="s">
        <v>309</v>
      </c>
      <c r="D45" s="5" t="s">
        <v>310</v>
      </c>
      <c r="E45" s="5" t="s">
        <v>311</v>
      </c>
      <c r="F45" s="5" t="s">
        <v>312</v>
      </c>
      <c r="G45" s="5" t="s">
        <v>313</v>
      </c>
    </row>
    <row r="46" customFormat="false" ht="15" hidden="false" customHeight="false" outlineLevel="0" collapsed="false">
      <c r="A46" s="5" t="s">
        <v>294</v>
      </c>
      <c r="B46" s="5" t="s">
        <v>179</v>
      </c>
      <c r="C46" s="5" t="s">
        <v>314</v>
      </c>
      <c r="D46" s="5" t="s">
        <v>315</v>
      </c>
      <c r="E46" s="5" t="s">
        <v>135</v>
      </c>
      <c r="F46" s="5" t="s">
        <v>316</v>
      </c>
      <c r="G46" s="5" t="s">
        <v>317</v>
      </c>
    </row>
    <row r="47" customFormat="false" ht="28.35" hidden="false" customHeight="false" outlineLevel="0" collapsed="false">
      <c r="A47" s="5" t="s">
        <v>294</v>
      </c>
      <c r="B47" s="5" t="s">
        <v>318</v>
      </c>
      <c r="C47" s="5" t="s">
        <v>319</v>
      </c>
      <c r="D47" s="5" t="s">
        <v>320</v>
      </c>
      <c r="E47" s="5"/>
      <c r="F47" s="5" t="s">
        <v>321</v>
      </c>
      <c r="G47" s="5" t="s">
        <v>317</v>
      </c>
    </row>
  </sheetData>
  <autoFilter ref="A1:G4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6"/>
    <col collapsed="false" customWidth="true" hidden="false" outlineLevel="0" max="3" min="3" style="0" width="42"/>
    <col collapsed="false" customWidth="true" hidden="false" outlineLevel="0" max="4" min="4" style="0" width="16"/>
    <col collapsed="false" customWidth="true" hidden="false" outlineLevel="0" max="5" min="5" style="0" width="38"/>
    <col collapsed="false" customWidth="true" hidden="false" outlineLevel="0" max="6" min="6" style="0" width="16"/>
    <col collapsed="false" customWidth="true" hidden="false" outlineLevel="0" max="7" min="7" style="0" width="14"/>
    <col collapsed="false" customWidth="true" hidden="false" outlineLevel="0" max="8" min="8" style="0" width="10"/>
    <col collapsed="false" customWidth="true" hidden="false" outlineLevel="0" max="9" min="9" style="0" width="14"/>
    <col collapsed="false" customWidth="true" hidden="false" outlineLevel="0" max="10" min="10" style="0" width="60"/>
  </cols>
  <sheetData>
    <row r="1" customFormat="false" ht="45" hidden="false" customHeight="true" outlineLevel="0" collapsed="false">
      <c r="A1" s="3" t="s">
        <v>322</v>
      </c>
      <c r="B1" s="3" t="s">
        <v>323</v>
      </c>
      <c r="C1" s="3" t="s">
        <v>324</v>
      </c>
      <c r="D1" s="8" t="s">
        <v>325</v>
      </c>
      <c r="E1" s="3" t="s">
        <v>326</v>
      </c>
      <c r="F1" s="8" t="s">
        <v>327</v>
      </c>
      <c r="G1" s="8" t="s">
        <v>328</v>
      </c>
      <c r="H1" s="3" t="s">
        <v>329</v>
      </c>
      <c r="I1" s="8" t="s">
        <v>330</v>
      </c>
      <c r="J1" s="3" t="s">
        <v>331</v>
      </c>
    </row>
    <row r="2" customFormat="false" ht="28.35" hidden="false" customHeight="false" outlineLevel="0" collapsed="false">
      <c r="A2" s="5" t="n">
        <v>1</v>
      </c>
      <c r="B2" s="9" t="s">
        <v>332</v>
      </c>
      <c r="C2" s="5" t="s">
        <v>333</v>
      </c>
      <c r="D2" s="10" t="n">
        <f aca="false">'State-wise Incidence'!C39</f>
        <v>1392179</v>
      </c>
      <c r="E2" s="5" t="s">
        <v>334</v>
      </c>
      <c r="F2" s="10" t="n">
        <f aca="false">'India Sites 2020'!J2</f>
        <v>1392179</v>
      </c>
      <c r="G2" s="11" t="n">
        <f aca="false">D2-F2</f>
        <v>0</v>
      </c>
      <c r="H2" s="12" t="n">
        <v>0</v>
      </c>
      <c r="I2" s="5" t="str">
        <f aca="false">IF(ABS(G2)&lt;=H2,"Match","Check")</f>
        <v>Match</v>
      </c>
      <c r="J2" s="5" t="s">
        <v>335</v>
      </c>
    </row>
    <row r="3" customFormat="false" ht="28.35" hidden="false" customHeight="false" outlineLevel="0" collapsed="false">
      <c r="A3" s="5" t="n">
        <v>2</v>
      </c>
      <c r="B3" s="9" t="s">
        <v>336</v>
      </c>
      <c r="C3" s="5" t="s">
        <v>337</v>
      </c>
      <c r="D3" s="10" t="n">
        <f aca="false">'State-wise Incidence'!E39</f>
        <v>1461427</v>
      </c>
      <c r="E3" s="5" t="s">
        <v>338</v>
      </c>
      <c r="F3" s="10" t="n">
        <f aca="false">'India Sites 2022'!L2</f>
        <v>1461427</v>
      </c>
      <c r="G3" s="11" t="n">
        <f aca="false">D3-F3</f>
        <v>0</v>
      </c>
      <c r="H3" s="12" t="n">
        <v>0</v>
      </c>
      <c r="I3" s="5" t="str">
        <f aca="false">IF(ABS(G3)&lt;=H3,"Match","Check")</f>
        <v>Match</v>
      </c>
      <c r="J3" s="5" t="s">
        <v>339</v>
      </c>
    </row>
    <row r="4" customFormat="false" ht="15" hidden="false" customHeight="false" outlineLevel="0" collapsed="false">
      <c r="A4" s="5" t="n">
        <v>3</v>
      </c>
      <c r="B4" s="9" t="s">
        <v>340</v>
      </c>
      <c r="C4" s="5" t="s">
        <v>341</v>
      </c>
      <c r="D4" s="10" t="n">
        <f aca="false">INDEX('State-wise Incidence'!$C$2:$C$38,MATCH("Maharashtra",'State-wise Incidence'!$A$2:$A$38,0))</f>
        <v>116121</v>
      </c>
      <c r="E4" s="5" t="s">
        <v>342</v>
      </c>
      <c r="F4" s="10" t="n">
        <f aca="false">'MH Projections'!D2</f>
        <v>116121</v>
      </c>
      <c r="G4" s="11" t="n">
        <f aca="false">D4-F4</f>
        <v>0</v>
      </c>
      <c r="H4" s="12" t="n">
        <v>0</v>
      </c>
      <c r="I4" s="5" t="str">
        <f aca="false">IF(ABS(G4)&lt;=H4,"Match","Check")</f>
        <v>Match</v>
      </c>
      <c r="J4" s="5" t="s">
        <v>343</v>
      </c>
    </row>
    <row r="5" customFormat="false" ht="15" hidden="false" customHeight="false" outlineLevel="0" collapsed="false">
      <c r="A5" s="5" t="n">
        <v>4</v>
      </c>
      <c r="B5" s="9" t="s">
        <v>344</v>
      </c>
      <c r="C5" s="5" t="s">
        <v>345</v>
      </c>
      <c r="D5" s="10" t="n">
        <f aca="false">INDEX('State-wise Incidence'!$C$2:$C$38,MATCH("Maharashtra",'State-wise Incidence'!$A$2:$A$38,0))/'State-wise Incidence'!C39</f>
        <v>0.0834095328258794</v>
      </c>
      <c r="E5" s="5" t="s">
        <v>346</v>
      </c>
      <c r="F5" s="10" t="n">
        <f aca="false">'MH Projections'!G2</f>
        <v>0.0834095328258794</v>
      </c>
      <c r="G5" s="11" t="n">
        <f aca="false">D5-F5</f>
        <v>0</v>
      </c>
      <c r="H5" s="12" t="n">
        <v>1E-005</v>
      </c>
      <c r="I5" s="5" t="str">
        <f aca="false">IF(ABS(G5)&lt;=H5,"Match","Check")</f>
        <v>Match</v>
      </c>
      <c r="J5" s="5"/>
    </row>
    <row r="6" customFormat="false" ht="15" hidden="false" customHeight="false" outlineLevel="0" collapsed="false">
      <c r="A6" s="5" t="n">
        <v>5</v>
      </c>
      <c r="B6" s="9" t="s">
        <v>347</v>
      </c>
      <c r="C6" s="5" t="s">
        <v>348</v>
      </c>
      <c r="D6" s="10" t="n">
        <f aca="false">'India Trend 2015-2025'!D18</f>
        <v>1392179</v>
      </c>
      <c r="E6" s="5" t="s">
        <v>349</v>
      </c>
      <c r="F6" s="10" t="n">
        <f aca="false">'India Sites 2020'!J2</f>
        <v>1392179</v>
      </c>
      <c r="G6" s="11" t="n">
        <f aca="false">D6-F6</f>
        <v>0</v>
      </c>
      <c r="H6" s="12" t="n">
        <v>0</v>
      </c>
      <c r="I6" s="5" t="str">
        <f aca="false">IF(ABS(G6)&lt;=H6,"Match","Check")</f>
        <v>Match</v>
      </c>
      <c r="J6" s="5" t="s">
        <v>350</v>
      </c>
    </row>
    <row r="7" customFormat="false" ht="15" hidden="false" customHeight="false" outlineLevel="0" collapsed="false">
      <c r="A7" s="5" t="n">
        <v>6</v>
      </c>
      <c r="B7" s="9" t="s">
        <v>351</v>
      </c>
      <c r="C7" s="5" t="s">
        <v>352</v>
      </c>
      <c r="D7" s="10" t="n">
        <f aca="false">'India Sites 2022'!D2+'India Sites 2022'!H2</f>
        <v>1461427</v>
      </c>
      <c r="E7" s="5" t="s">
        <v>353</v>
      </c>
      <c r="F7" s="10" t="n">
        <f aca="false">'India Sites 2022'!L2</f>
        <v>1461427</v>
      </c>
      <c r="G7" s="11" t="n">
        <f aca="false">D7-F7</f>
        <v>0</v>
      </c>
      <c r="H7" s="12" t="n">
        <v>0</v>
      </c>
      <c r="I7" s="5" t="str">
        <f aca="false">IF(ABS(G7)&lt;=H7,"Match","Check")</f>
        <v>Match</v>
      </c>
      <c r="J7" s="5" t="s">
        <v>354</v>
      </c>
    </row>
    <row r="8" customFormat="false" ht="15" hidden="false" customHeight="false" outlineLevel="0" collapsed="false">
      <c r="A8" s="5" t="n">
        <v>7</v>
      </c>
      <c r="B8" s="9" t="s">
        <v>355</v>
      </c>
      <c r="C8" s="5" t="s">
        <v>356</v>
      </c>
      <c r="D8" s="10" t="n">
        <f aca="false">ROUND('India Trend 2015-2025'!G18*100,1)</f>
        <v>12.8</v>
      </c>
      <c r="E8" s="5" t="s">
        <v>357</v>
      </c>
      <c r="F8" s="10" t="n">
        <v>12.8</v>
      </c>
      <c r="G8" s="11" t="n">
        <f aca="false">D8-F8</f>
        <v>0</v>
      </c>
      <c r="H8" s="12" t="n">
        <v>0.05</v>
      </c>
      <c r="I8" s="5" t="str">
        <f aca="false">IF(ABS(G8)&lt;=H8,"Match","Check")</f>
        <v>Match</v>
      </c>
      <c r="J8" s="5"/>
    </row>
    <row r="9" customFormat="false" ht="15" hidden="false" customHeight="false" outlineLevel="0" collapsed="false">
      <c r="A9" s="5" t="n">
        <v>8</v>
      </c>
      <c r="B9" s="9" t="s">
        <v>358</v>
      </c>
      <c r="C9" s="5" t="s">
        <v>356</v>
      </c>
      <c r="D9" s="10" t="n">
        <f aca="false">ROUND('India Trend 2015-2025'!H18*100,1)</f>
        <v>27.7</v>
      </c>
      <c r="E9" s="5" t="s">
        <v>357</v>
      </c>
      <c r="F9" s="10" t="n">
        <v>27.7</v>
      </c>
      <c r="G9" s="11" t="n">
        <f aca="false">D9-F9</f>
        <v>0</v>
      </c>
      <c r="H9" s="12" t="n">
        <v>0.05</v>
      </c>
      <c r="I9" s="5" t="str">
        <f aca="false">IF(ABS(G9)&lt;=H9,"Match","Check")</f>
        <v>Match</v>
      </c>
      <c r="J9" s="5"/>
    </row>
    <row r="10" customFormat="false" ht="15" hidden="false" customHeight="false" outlineLevel="0" collapsed="false">
      <c r="A10" s="5" t="n">
        <v>9</v>
      </c>
      <c r="B10" s="9" t="s">
        <v>359</v>
      </c>
      <c r="C10" s="5" t="s">
        <v>360</v>
      </c>
      <c r="D10" s="10" t="n">
        <f aca="false">ROUND(('India Sites 2022'!L2/'India Sites 2020'!J2-1)*100,1)</f>
        <v>5</v>
      </c>
      <c r="E10" s="5" t="s">
        <v>361</v>
      </c>
      <c r="F10" s="10" t="n">
        <v>5</v>
      </c>
      <c r="G10" s="11" t="n">
        <f aca="false">D10-F10</f>
        <v>0</v>
      </c>
      <c r="H10" s="12" t="n">
        <v>0.1</v>
      </c>
      <c r="I10" s="5" t="str">
        <f aca="false">IF(ABS(G10)&lt;=H10,"Match","Check")</f>
        <v>Match</v>
      </c>
      <c r="J10" s="5" t="s">
        <v>362</v>
      </c>
    </row>
    <row r="11" customFormat="false" ht="15" hidden="false" customHeight="false" outlineLevel="0" collapsed="false">
      <c r="A11" s="5" t="n">
        <v>10</v>
      </c>
      <c r="B11" s="9" t="s">
        <v>192</v>
      </c>
      <c r="C11" s="5" t="s">
        <v>363</v>
      </c>
      <c r="D11" s="10" t="n">
        <f aca="false">INDEX('India Sites 2022'!$L$2:$L$58,MATCH("Lung and bronchus",'India Sites 2022'!$A$2:$A$58,0))</f>
        <v>103371</v>
      </c>
      <c r="E11" s="5" t="s">
        <v>364</v>
      </c>
      <c r="F11" s="10" t="n">
        <v>103371</v>
      </c>
      <c r="G11" s="11" t="n">
        <f aca="false">D11-F11</f>
        <v>0</v>
      </c>
      <c r="H11" s="12" t="n">
        <v>0</v>
      </c>
      <c r="I11" s="5" t="str">
        <f aca="false">IF(ABS(G11)&lt;=H11,"Match","Check")</f>
        <v>Match</v>
      </c>
      <c r="J11" s="5"/>
    </row>
    <row r="12" customFormat="false" ht="15" hidden="false" customHeight="false" outlineLevel="0" collapsed="false">
      <c r="A12" s="5" t="n">
        <v>11</v>
      </c>
      <c r="B12" s="9" t="s">
        <v>365</v>
      </c>
      <c r="C12" s="5" t="s">
        <v>366</v>
      </c>
      <c r="D12" s="10" t="n">
        <f aca="false">ROUND('India Age Structure'!D21,1)</f>
        <v>9.7</v>
      </c>
      <c r="E12" s="5" t="s">
        <v>357</v>
      </c>
      <c r="F12" s="10" t="n">
        <v>9.7</v>
      </c>
      <c r="G12" s="11" t="n">
        <f aca="false">D12-F12</f>
        <v>0</v>
      </c>
      <c r="H12" s="12" t="n">
        <v>0.05</v>
      </c>
      <c r="I12" s="5" t="str">
        <f aca="false">IF(ABS(G12)&lt;=H12,"Match","Check")</f>
        <v>Match</v>
      </c>
      <c r="J12" s="5" t="s">
        <v>367</v>
      </c>
    </row>
    <row r="13" customFormat="false" ht="15" hidden="false" customHeight="false" outlineLevel="0" collapsed="false">
      <c r="A13" s="5" t="n">
        <v>12</v>
      </c>
      <c r="B13" s="9" t="s">
        <v>368</v>
      </c>
      <c r="C13" s="5" t="s">
        <v>366</v>
      </c>
      <c r="D13" s="10" t="n">
        <f aca="false">ROUND('India Age Structure'!B21,1)</f>
        <v>8.6</v>
      </c>
      <c r="E13" s="5" t="s">
        <v>357</v>
      </c>
      <c r="F13" s="10" t="n">
        <v>8.6</v>
      </c>
      <c r="G13" s="11" t="n">
        <f aca="false">D13-F13</f>
        <v>0</v>
      </c>
      <c r="H13" s="12" t="n">
        <v>0.05</v>
      </c>
      <c r="I13" s="5" t="str">
        <f aca="false">IF(ABS(G13)&lt;=H13,"Match","Check")</f>
        <v>Match</v>
      </c>
      <c r="J13" s="5" t="s">
        <v>369</v>
      </c>
    </row>
    <row r="14" customFormat="false" ht="28.35" hidden="false" customHeight="false" outlineLevel="0" collapsed="false">
      <c r="A14" s="5" t="n">
        <v>13</v>
      </c>
      <c r="B14" s="9" t="s">
        <v>370</v>
      </c>
      <c r="C14" s="5" t="s">
        <v>371</v>
      </c>
      <c r="D14" s="10" t="n">
        <f aca="false">'India Age-Sex Sites'!G2</f>
        <v>29.3</v>
      </c>
      <c r="E14" s="5" t="s">
        <v>372</v>
      </c>
      <c r="F14" s="10" t="n">
        <v>29.2</v>
      </c>
      <c r="G14" s="11" t="n">
        <f aca="false">D14-F14</f>
        <v>0.100000000000001</v>
      </c>
      <c r="H14" s="12" t="n">
        <v>0.05</v>
      </c>
      <c r="I14" s="5" t="str">
        <f aca="false">IF(ABS(G14)&lt;=H14,"Match","Check")</f>
        <v>Check</v>
      </c>
      <c r="J14" s="5" t="s">
        <v>373</v>
      </c>
    </row>
    <row r="15" customFormat="false" ht="28.35" hidden="false" customHeight="false" outlineLevel="0" collapsed="false">
      <c r="A15" s="5" t="n">
        <v>14</v>
      </c>
      <c r="B15" s="9" t="s">
        <v>374</v>
      </c>
      <c r="C15" s="5" t="s">
        <v>371</v>
      </c>
      <c r="D15" s="10" t="n">
        <f aca="false">'India Age-Sex Sites'!G9</f>
        <v>24.3</v>
      </c>
      <c r="E15" s="5" t="s">
        <v>372</v>
      </c>
      <c r="F15" s="10" t="n">
        <v>24.2</v>
      </c>
      <c r="G15" s="11" t="n">
        <f aca="false">D15-F15</f>
        <v>0.100000000000001</v>
      </c>
      <c r="H15" s="12" t="n">
        <v>0.05</v>
      </c>
      <c r="I15" s="5" t="str">
        <f aca="false">IF(ABS(G15)&lt;=H15,"Match","Check")</f>
        <v>Check</v>
      </c>
      <c r="J15" s="5" t="s">
        <v>375</v>
      </c>
    </row>
    <row r="16" customFormat="false" ht="28.35" hidden="false" customHeight="false" outlineLevel="0" collapsed="false">
      <c r="A16" s="5" t="n">
        <v>15</v>
      </c>
      <c r="B16" s="9" t="s">
        <v>376</v>
      </c>
      <c r="C16" s="5" t="s">
        <v>377</v>
      </c>
      <c r="D16" s="10" t="n">
        <f aca="false">(SUMPRODUCT(ABS('Tobacco-related Cancers'!I2:I33-'Tobacco-related Cancers'!C2:C33))+SUMPRODUCT(ABS('Tobacco-related Cancers'!J2:J33-'Tobacco-related Cancers'!F2:F33)))/64</f>
        <v>0.0986380063989524</v>
      </c>
      <c r="E16" s="5" t="s">
        <v>378</v>
      </c>
      <c r="F16" s="10" t="n">
        <v>0</v>
      </c>
      <c r="G16" s="11" t="n">
        <f aca="false">D16-F16</f>
        <v>0.0986380063989524</v>
      </c>
      <c r="H16" s="12" t="n">
        <v>0.5</v>
      </c>
      <c r="I16" s="5" t="str">
        <f aca="false">IF(ABS(G16)&lt;=H16,"Match","Check")</f>
        <v>Match</v>
      </c>
      <c r="J16" s="5" t="s">
        <v>379</v>
      </c>
    </row>
    <row r="17" customFormat="false" ht="15" hidden="false" customHeight="false" outlineLevel="0" collapsed="false">
      <c r="A17" s="5" t="n">
        <v>16</v>
      </c>
      <c r="B17" s="9" t="s">
        <v>380</v>
      </c>
      <c r="C17" s="5" t="s">
        <v>381</v>
      </c>
      <c r="D17" s="10" t="n">
        <f aca="false">SUMPRODUCT(--(ABS('Clinical Stage'!I2:I15-100)&gt;0.15))</f>
        <v>0</v>
      </c>
      <c r="E17" s="5" t="s">
        <v>378</v>
      </c>
      <c r="F17" s="10" t="n">
        <v>0</v>
      </c>
      <c r="G17" s="11" t="n">
        <f aca="false">D17-F17</f>
        <v>0</v>
      </c>
      <c r="H17" s="12" t="n">
        <v>0</v>
      </c>
      <c r="I17" s="5" t="str">
        <f aca="false">IF(ABS(G17)&lt;=H17,"Match","Check")</f>
        <v>Match</v>
      </c>
      <c r="J17" s="5"/>
    </row>
    <row r="18" customFormat="false" ht="28.35" hidden="false" customHeight="false" outlineLevel="0" collapsed="false">
      <c r="A18" s="5" t="n">
        <v>17</v>
      </c>
      <c r="B18" s="9" t="s">
        <v>382</v>
      </c>
      <c r="C18" s="5" t="s">
        <v>383</v>
      </c>
      <c r="D18" s="10" t="n">
        <f aca="false">COUNTIFS('Cancer Trends (APC)'!A2:A153,"Breast",'Cancer Trends (APC)'!F2:F153,"Yes")</f>
        <v>15</v>
      </c>
      <c r="E18" s="5" t="s">
        <v>384</v>
      </c>
      <c r="F18" s="10" t="n">
        <v>15</v>
      </c>
      <c r="G18" s="11" t="n">
        <f aca="false">D18-F18</f>
        <v>0</v>
      </c>
      <c r="H18" s="12" t="n">
        <v>0</v>
      </c>
      <c r="I18" s="5" t="str">
        <f aca="false">IF(ABS(G18)&lt;=H18,"Match","Check")</f>
        <v>Match</v>
      </c>
      <c r="J18" s="5"/>
    </row>
    <row r="19" customFormat="false" ht="15" hidden="false" customHeight="false" outlineLevel="0" collapsed="false">
      <c r="A19" s="5" t="n">
        <v>18</v>
      </c>
      <c r="B19" s="9" t="s">
        <v>385</v>
      </c>
      <c r="C19" s="5" t="s">
        <v>383</v>
      </c>
      <c r="D19" s="10" t="n">
        <f aca="false">COUNTIFS('Cancer Trends (APC)'!A2:A153,"Cervix uteri",'Cancer Trends (APC)'!F2:F153,"Yes")</f>
        <v>10</v>
      </c>
      <c r="E19" s="5" t="s">
        <v>357</v>
      </c>
      <c r="F19" s="10" t="n">
        <v>10</v>
      </c>
      <c r="G19" s="11" t="n">
        <f aca="false">D19-F19</f>
        <v>0</v>
      </c>
      <c r="H19" s="12" t="n">
        <v>0</v>
      </c>
      <c r="I19" s="5" t="str">
        <f aca="false">IF(ABS(G19)&lt;=H19,"Match","Check")</f>
        <v>Match</v>
      </c>
      <c r="J19" s="5"/>
    </row>
    <row r="20" customFormat="false" ht="15" hidden="false" customHeight="false" outlineLevel="0" collapsed="false">
      <c r="A20" s="5" t="n">
        <v>19</v>
      </c>
      <c r="B20" s="9" t="s">
        <v>386</v>
      </c>
      <c r="C20" s="5" t="s">
        <v>383</v>
      </c>
      <c r="D20" s="10" t="n">
        <f aca="false">COUNTIFS('Cancer Trends (APC)'!A2:A153,"Lung",'Cancer Trends (APC)'!B2:B153,"Female",'Cancer Trends (APC)'!F2:F153,"Yes")</f>
        <v>11</v>
      </c>
      <c r="E20" s="5" t="s">
        <v>357</v>
      </c>
      <c r="F20" s="10" t="n">
        <v>11</v>
      </c>
      <c r="G20" s="11" t="n">
        <f aca="false">D20-F20</f>
        <v>0</v>
      </c>
      <c r="H20" s="12" t="n">
        <v>0</v>
      </c>
      <c r="I20" s="5" t="str">
        <f aca="false">IF(ABS(G20)&lt;=H20,"Match","Check")</f>
        <v>Match</v>
      </c>
      <c r="J20" s="5"/>
    </row>
    <row r="21" customFormat="false" ht="28.35" hidden="false" customHeight="false" outlineLevel="0" collapsed="false">
      <c r="A21" s="5" t="n">
        <v>20</v>
      </c>
      <c r="B21" s="9" t="s">
        <v>387</v>
      </c>
      <c r="C21" s="5" t="s">
        <v>388</v>
      </c>
      <c r="D21" s="10" t="n">
        <f aca="false">COUNTIFS('Cancer Trends (APC)'!A2:A153,"All sites",'Cancer Trends (APC)'!B2:B153,"Male",'Cancer Trends (APC)'!E2:E153,"&gt;0")</f>
        <v>12</v>
      </c>
      <c r="E21" s="5" t="s">
        <v>357</v>
      </c>
      <c r="F21" s="10" t="n">
        <v>12</v>
      </c>
      <c r="G21" s="11" t="n">
        <f aca="false">D21-F21</f>
        <v>0</v>
      </c>
      <c r="H21" s="12" t="n">
        <v>0</v>
      </c>
      <c r="I21" s="5" t="str">
        <f aca="false">IF(ABS(G21)&lt;=H21,"Match","Check")</f>
        <v>Match</v>
      </c>
      <c r="J21" s="5"/>
    </row>
    <row r="22" customFormat="false" ht="28.35" hidden="false" customHeight="false" outlineLevel="0" collapsed="false">
      <c r="A22" s="5" t="n">
        <v>21</v>
      </c>
      <c r="B22" s="9" t="s">
        <v>389</v>
      </c>
      <c r="C22" s="5" t="s">
        <v>388</v>
      </c>
      <c r="D22" s="10" t="n">
        <f aca="false">COUNTIFS('Cancer Trends (APC)'!A2:A153,"All sites",'Cancer Trends (APC)'!B2:B153,"Female",'Cancer Trends (APC)'!E2:E153,"&gt;0")</f>
        <v>13</v>
      </c>
      <c r="E22" s="5" t="s">
        <v>357</v>
      </c>
      <c r="F22" s="10" t="n">
        <v>13</v>
      </c>
      <c r="G22" s="11" t="n">
        <f aca="false">D22-F22</f>
        <v>0</v>
      </c>
      <c r="H22" s="12" t="n">
        <v>0</v>
      </c>
      <c r="I22" s="5" t="str">
        <f aca="false">IF(ABS(G22)&lt;=H22,"Match","Check")</f>
        <v>Match</v>
      </c>
      <c r="J22" s="5"/>
    </row>
    <row r="23" customFormat="false" ht="15" hidden="false" customHeight="false" outlineLevel="0" collapsed="false">
      <c r="A23" s="5" t="n">
        <v>22</v>
      </c>
      <c r="B23" s="9" t="s">
        <v>390</v>
      </c>
      <c r="C23" s="5" t="s">
        <v>391</v>
      </c>
      <c r="D23" s="10" t="n">
        <f aca="false">'MH Socio-Health Profile'!E17</f>
        <v>929.403103436056</v>
      </c>
      <c r="E23" s="5" t="s">
        <v>392</v>
      </c>
      <c r="F23" s="10" t="n">
        <v>929</v>
      </c>
      <c r="G23" s="11" t="n">
        <f aca="false">D23-F23</f>
        <v>0.403103436055972</v>
      </c>
      <c r="H23" s="12" t="n">
        <v>0.5</v>
      </c>
      <c r="I23" s="5" t="str">
        <f aca="false">IF(ABS(G23)&lt;=H23,"Match","Check")</f>
        <v>Match</v>
      </c>
      <c r="J23" s="5" t="s">
        <v>393</v>
      </c>
    </row>
    <row r="24" customFormat="false" ht="28.35" hidden="false" customHeight="false" outlineLevel="0" collapsed="false">
      <c r="A24" s="5" t="n">
        <v>23</v>
      </c>
      <c r="B24" s="9" t="s">
        <v>394</v>
      </c>
      <c r="C24" s="5" t="s">
        <v>395</v>
      </c>
      <c r="D24" s="7" t="n">
        <f aca="false">'State-wise Incidence'!F39</f>
        <v>1604194</v>
      </c>
      <c r="E24" s="5" t="s">
        <v>396</v>
      </c>
      <c r="F24" s="7" t="n">
        <f aca="false">'India Trend 2015-2025'!E18</f>
        <v>1569793</v>
      </c>
      <c r="G24" s="7" t="n">
        <f aca="false">D24-F24</f>
        <v>34401</v>
      </c>
      <c r="H24" s="5"/>
      <c r="I24" s="5" t="s">
        <v>397</v>
      </c>
      <c r="J24" s="5" t="s">
        <v>398</v>
      </c>
    </row>
    <row r="25" customFormat="false" ht="41.75" hidden="false" customHeight="false" outlineLevel="0" collapsed="false">
      <c r="A25" s="5" t="n">
        <v>24</v>
      </c>
      <c r="B25" s="9" t="s">
        <v>399</v>
      </c>
      <c r="C25" s="5" t="s">
        <v>400</v>
      </c>
      <c r="E25" s="5" t="s">
        <v>401</v>
      </c>
      <c r="I25" s="5" t="s">
        <v>402</v>
      </c>
      <c r="J25" s="5" t="s">
        <v>403</v>
      </c>
    </row>
    <row r="27" customFormat="false" ht="15" hidden="false" customHeight="false" outlineLevel="0" collapsed="false">
      <c r="B27" s="13" t="s">
        <v>404</v>
      </c>
      <c r="I27" s="9" t="str">
        <f aca="false">COUNTIF(I2:I25,"Match*")&amp;" of "&amp;COUNTA(I2:I25)</f>
        <v>21 of 24</v>
      </c>
    </row>
  </sheetData>
  <autoFilter ref="A1:J2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2"/>
    <col collapsed="false" customWidth="true" hidden="false" outlineLevel="0" max="9" min="3" style="0" width="16"/>
    <col collapsed="false" customWidth="true" hidden="false" outlineLevel="0" max="10" min="10" style="0" width="36"/>
    <col collapsed="false" customWidth="true" hidden="false" outlineLevel="0" max="15" min="11" style="0" width="16"/>
  </cols>
  <sheetData>
    <row r="1" customFormat="false" ht="45" hidden="false" customHeight="true" outlineLevel="0" collapsed="false">
      <c r="A1" s="14" t="s">
        <v>405</v>
      </c>
      <c r="B1" s="14" t="s">
        <v>406</v>
      </c>
      <c r="C1" s="14" t="s">
        <v>407</v>
      </c>
      <c r="D1" s="14" t="s">
        <v>408</v>
      </c>
      <c r="E1" s="14" t="s">
        <v>409</v>
      </c>
      <c r="F1" s="14" t="s">
        <v>410</v>
      </c>
      <c r="G1" s="14" t="s">
        <v>411</v>
      </c>
      <c r="H1" s="14" t="s">
        <v>412</v>
      </c>
      <c r="I1" s="3" t="s">
        <v>413</v>
      </c>
      <c r="J1" s="3" t="s">
        <v>414</v>
      </c>
      <c r="K1" s="8" t="s">
        <v>415</v>
      </c>
      <c r="L1" s="8" t="s">
        <v>416</v>
      </c>
      <c r="M1" s="8" t="s">
        <v>417</v>
      </c>
      <c r="N1" s="8" t="s">
        <v>418</v>
      </c>
      <c r="O1" s="8" t="s">
        <v>419</v>
      </c>
    </row>
    <row r="2" customFormat="false" ht="15" hidden="false" customHeight="false" outlineLevel="0" collapsed="false">
      <c r="A2" s="15" t="s">
        <v>420</v>
      </c>
      <c r="B2" s="16" t="n">
        <v>12396</v>
      </c>
      <c r="C2" s="16" t="n">
        <v>12726</v>
      </c>
      <c r="D2" s="16" t="n">
        <v>13060</v>
      </c>
      <c r="E2" s="16" t="n">
        <v>13395</v>
      </c>
      <c r="F2" s="16" t="n">
        <v>14857</v>
      </c>
      <c r="G2" s="16" t="n">
        <v>16475</v>
      </c>
      <c r="H2" s="16" t="n">
        <v>24277</v>
      </c>
      <c r="I2" s="5" t="s">
        <v>421</v>
      </c>
      <c r="J2" s="5" t="s">
        <v>422</v>
      </c>
      <c r="K2" s="17" t="n">
        <f aca="false">(E2/B2)^(1/3)-1</f>
        <v>0.0261725271102942</v>
      </c>
      <c r="L2" s="17" t="n">
        <f aca="false">(F2/E2)^(1/4)-1</f>
        <v>0.0262356594162736</v>
      </c>
      <c r="M2" s="17" t="n">
        <f aca="false">(H2/E2)^(1/23)-1</f>
        <v>0.026191376743095</v>
      </c>
      <c r="N2" s="17" t="n">
        <f aca="false">E2/E$39</f>
        <v>0.00916569900515045</v>
      </c>
      <c r="O2" s="18" t="n">
        <f aca="false">H2/E2</f>
        <v>1.81239268383725</v>
      </c>
    </row>
    <row r="3" customFormat="false" ht="15" hidden="false" customHeight="false" outlineLevel="0" collapsed="false">
      <c r="A3" s="15" t="s">
        <v>423</v>
      </c>
      <c r="B3" s="16" t="n">
        <v>279</v>
      </c>
      <c r="C3" s="16" t="n">
        <v>286</v>
      </c>
      <c r="D3" s="16" t="n">
        <v>294</v>
      </c>
      <c r="E3" s="16" t="n">
        <v>302</v>
      </c>
      <c r="F3" s="16" t="n">
        <v>336</v>
      </c>
      <c r="G3" s="16" t="n">
        <v>373</v>
      </c>
      <c r="H3" s="16" t="n">
        <v>556</v>
      </c>
      <c r="I3" s="5" t="s">
        <v>421</v>
      </c>
      <c r="J3" s="5" t="s">
        <v>422</v>
      </c>
      <c r="K3" s="17" t="n">
        <f aca="false">(E3/B3)^(1/3)-1</f>
        <v>0.0267567813604415</v>
      </c>
      <c r="L3" s="17" t="n">
        <f aca="false">(F3/E3)^(1/4)-1</f>
        <v>0.0270298909625619</v>
      </c>
      <c r="M3" s="17" t="n">
        <f aca="false">(H3/E3)^(1/23)-1</f>
        <v>0.0268918074587305</v>
      </c>
      <c r="N3" s="17" t="n">
        <f aca="false">E3/E$39</f>
        <v>0.000206647338525975</v>
      </c>
      <c r="O3" s="18" t="n">
        <f aca="false">H3/E3</f>
        <v>1.84105960264901</v>
      </c>
    </row>
    <row r="4" customFormat="false" ht="15" hidden="false" customHeight="false" outlineLevel="0" collapsed="false">
      <c r="A4" s="15" t="s">
        <v>424</v>
      </c>
      <c r="B4" s="16" t="n">
        <v>8589</v>
      </c>
      <c r="C4" s="16" t="n">
        <v>8799</v>
      </c>
      <c r="D4" s="16" t="n">
        <v>8978</v>
      </c>
      <c r="E4" s="16" t="n">
        <v>9164</v>
      </c>
      <c r="F4" s="16" t="n">
        <v>9992</v>
      </c>
      <c r="G4" s="16" t="n">
        <v>10887</v>
      </c>
      <c r="H4" s="16" t="n">
        <v>15021</v>
      </c>
      <c r="I4" s="5" t="s">
        <v>421</v>
      </c>
      <c r="J4" s="5" t="s">
        <v>422</v>
      </c>
      <c r="K4" s="17" t="n">
        <f aca="false">(E4/B4)^(1/3)-1</f>
        <v>0.0218351219348236</v>
      </c>
      <c r="L4" s="17" t="n">
        <f aca="false">(F4/E4)^(1/4)-1</f>
        <v>0.0218610279521765</v>
      </c>
      <c r="M4" s="17" t="n">
        <f aca="false">(H4/E4)^(1/23)-1</f>
        <v>0.0217179734280277</v>
      </c>
      <c r="N4" s="17" t="n">
        <f aca="false">E4/E$39</f>
        <v>0.00627058347765574</v>
      </c>
      <c r="O4" s="18" t="n">
        <f aca="false">H4/E4</f>
        <v>1.63913138367525</v>
      </c>
    </row>
    <row r="5" customFormat="false" ht="15" hidden="false" customHeight="false" outlineLevel="0" collapsed="false">
      <c r="A5" s="15" t="s">
        <v>425</v>
      </c>
      <c r="B5" s="16" t="n">
        <v>37744</v>
      </c>
      <c r="C5" s="16" t="n">
        <v>38636</v>
      </c>
      <c r="D5" s="16" t="n">
        <v>39521</v>
      </c>
      <c r="E5" s="16" t="n">
        <v>40435</v>
      </c>
      <c r="F5" s="16" t="n">
        <v>44322</v>
      </c>
      <c r="G5" s="16" t="n">
        <v>48578</v>
      </c>
      <c r="H5" s="16" t="n">
        <v>68516</v>
      </c>
      <c r="I5" s="5" t="s">
        <v>421</v>
      </c>
      <c r="J5" s="5" t="s">
        <v>426</v>
      </c>
      <c r="K5" s="17" t="n">
        <f aca="false">(E5/B5)^(1/3)-1</f>
        <v>0.0232219342443611</v>
      </c>
      <c r="L5" s="17" t="n">
        <f aca="false">(F5/E5)^(1/4)-1</f>
        <v>0.0232116481998852</v>
      </c>
      <c r="M5" s="17" t="n">
        <f aca="false">(H5/E5)^(1/23)-1</f>
        <v>0.0231940925313947</v>
      </c>
      <c r="N5" s="17" t="n">
        <f aca="false">E5/E$39</f>
        <v>0.0276681626930391</v>
      </c>
      <c r="O5" s="18" t="n">
        <f aca="false">H5/E5</f>
        <v>1.69447261036231</v>
      </c>
    </row>
    <row r="6" customFormat="false" ht="15" hidden="false" customHeight="false" outlineLevel="0" collapsed="false">
      <c r="A6" s="15" t="s">
        <v>427</v>
      </c>
      <c r="B6" s="16" t="n">
        <v>994</v>
      </c>
      <c r="C6" s="16" t="n">
        <v>1024</v>
      </c>
      <c r="D6" s="16" t="n">
        <v>1053</v>
      </c>
      <c r="E6" s="16" t="n">
        <v>1088</v>
      </c>
      <c r="F6" s="16" t="n">
        <v>1225</v>
      </c>
      <c r="G6" s="16" t="n">
        <v>1381</v>
      </c>
      <c r="H6" s="16" t="n">
        <v>2162</v>
      </c>
      <c r="I6" s="5" t="s">
        <v>421</v>
      </c>
      <c r="J6" s="5" t="s">
        <v>422</v>
      </c>
      <c r="K6" s="17" t="n">
        <f aca="false">(E6/B6)^(1/3)-1</f>
        <v>0.0305779282277088</v>
      </c>
      <c r="L6" s="17" t="n">
        <f aca="false">(F6/E6)^(1/4)-1</f>
        <v>0.0300938595749209</v>
      </c>
      <c r="M6" s="17" t="n">
        <f aca="false">(H6/E6)^(1/23)-1</f>
        <v>0.030306363936329</v>
      </c>
      <c r="N6" s="17" t="n">
        <f aca="false">E6/E$39</f>
        <v>0.000744477828861791</v>
      </c>
      <c r="O6" s="18" t="n">
        <f aca="false">H6/E6</f>
        <v>1.98713235294118</v>
      </c>
    </row>
    <row r="7" customFormat="false" ht="15" hidden="false" customHeight="false" outlineLevel="0" collapsed="false">
      <c r="A7" s="15" t="s">
        <v>428</v>
      </c>
      <c r="B7" s="16" t="n">
        <v>11216</v>
      </c>
      <c r="C7" s="16" t="n">
        <v>11482</v>
      </c>
      <c r="D7" s="16" t="n">
        <v>11779</v>
      </c>
      <c r="E7" s="16" t="n">
        <v>12065</v>
      </c>
      <c r="F7" s="16" t="n">
        <v>13305</v>
      </c>
      <c r="G7" s="16" t="n">
        <v>14671</v>
      </c>
      <c r="H7" s="16" t="n">
        <v>21170</v>
      </c>
      <c r="I7" s="5" t="s">
        <v>421</v>
      </c>
      <c r="J7" s="5" t="s">
        <v>422</v>
      </c>
      <c r="K7" s="17" t="n">
        <f aca="false">(E7/B7)^(1/3)-1</f>
        <v>0.0246206599748826</v>
      </c>
      <c r="L7" s="17" t="n">
        <f aca="false">(F7/E7)^(1/4)-1</f>
        <v>0.0247593467216423</v>
      </c>
      <c r="M7" s="17" t="n">
        <f aca="false">(H7/E7)^(1/23)-1</f>
        <v>0.024748072438894</v>
      </c>
      <c r="N7" s="17" t="n">
        <f aca="false">E7/E$39</f>
        <v>0.00825562960038373</v>
      </c>
      <c r="O7" s="18" t="n">
        <f aca="false">H7/E7</f>
        <v>1.7546622461666</v>
      </c>
    </row>
    <row r="8" customFormat="false" ht="15" hidden="false" customHeight="false" outlineLevel="0" collapsed="false">
      <c r="A8" s="15" t="s">
        <v>429</v>
      </c>
      <c r="B8" s="16" t="n">
        <v>28453</v>
      </c>
      <c r="C8" s="16" t="n">
        <v>29219</v>
      </c>
      <c r="D8" s="16" t="n">
        <v>30015</v>
      </c>
      <c r="E8" s="16" t="n">
        <v>30851</v>
      </c>
      <c r="F8" s="16" t="n">
        <v>34356</v>
      </c>
      <c r="G8" s="16" t="n">
        <v>38269</v>
      </c>
      <c r="H8" s="16" t="n">
        <v>57344</v>
      </c>
      <c r="I8" s="5" t="s">
        <v>421</v>
      </c>
      <c r="J8" s="5" t="s">
        <v>422</v>
      </c>
      <c r="K8" s="17" t="n">
        <f aca="false">(E8/B8)^(1/3)-1</f>
        <v>0.0273388867287128</v>
      </c>
      <c r="L8" s="17" t="n">
        <f aca="false">(F8/E8)^(1/4)-1</f>
        <v>0.0272670001115867</v>
      </c>
      <c r="M8" s="17" t="n">
        <f aca="false">(H8/E8)^(1/23)-1</f>
        <v>0.0273186266406662</v>
      </c>
      <c r="N8" s="17" t="n">
        <f aca="false">E8/E$39</f>
        <v>0.0211101888770359</v>
      </c>
      <c r="O8" s="18" t="n">
        <f aca="false">H8/E8</f>
        <v>1.85874039739393</v>
      </c>
    </row>
    <row r="9" customFormat="false" ht="15" hidden="false" customHeight="false" outlineLevel="0" collapsed="false">
      <c r="A9" s="15" t="s">
        <v>430</v>
      </c>
      <c r="B9" s="16" t="n">
        <v>24436</v>
      </c>
      <c r="C9" s="16" t="n">
        <v>25178</v>
      </c>
      <c r="D9" s="16" t="n">
        <v>25969</v>
      </c>
      <c r="E9" s="16" t="n">
        <v>26735</v>
      </c>
      <c r="F9" s="16" t="n">
        <v>30163</v>
      </c>
      <c r="G9" s="16" t="n">
        <v>34017</v>
      </c>
      <c r="H9" s="16" t="n">
        <v>53405</v>
      </c>
      <c r="I9" s="5" t="s">
        <v>421</v>
      </c>
      <c r="J9" s="5" t="s">
        <v>430</v>
      </c>
      <c r="K9" s="17" t="n">
        <f aca="false">(E9/B9)^(1/3)-1</f>
        <v>0.0304257206538121</v>
      </c>
      <c r="L9" s="17" t="n">
        <f aca="false">(F9/E9)^(1/4)-1</f>
        <v>0.0306200483641408</v>
      </c>
      <c r="M9" s="17" t="n">
        <f aca="false">(H9/E9)^(1/23)-1</f>
        <v>0.030541042277707</v>
      </c>
      <c r="N9" s="17" t="n">
        <f aca="false">E9/E$39</f>
        <v>0.0182937635612316</v>
      </c>
      <c r="O9" s="18" t="n">
        <f aca="false">H9/E9</f>
        <v>1.99756873012904</v>
      </c>
    </row>
    <row r="10" customFormat="false" ht="15" hidden="false" customHeight="false" outlineLevel="0" collapsed="false">
      <c r="A10" s="15" t="s">
        <v>431</v>
      </c>
      <c r="B10" s="16" t="n">
        <v>69156</v>
      </c>
      <c r="C10" s="16" t="n">
        <v>70987</v>
      </c>
      <c r="D10" s="16" t="n">
        <v>72825</v>
      </c>
      <c r="E10" s="16" t="n">
        <v>74725</v>
      </c>
      <c r="F10" s="16" t="n">
        <v>82850</v>
      </c>
      <c r="G10" s="16" t="n">
        <v>91854</v>
      </c>
      <c r="H10" s="16" t="n">
        <v>135242</v>
      </c>
      <c r="I10" s="5" t="s">
        <v>432</v>
      </c>
      <c r="J10" s="5" t="s">
        <v>422</v>
      </c>
      <c r="K10" s="17" t="n">
        <f aca="false">(E10/B10)^(1/3)-1</f>
        <v>0.0261527641947836</v>
      </c>
      <c r="L10" s="17" t="n">
        <f aca="false">(F10/E10)^(1/4)-1</f>
        <v>0.0261400710541533</v>
      </c>
      <c r="M10" s="17" t="n">
        <f aca="false">(H10/E10)^(1/23)-1</f>
        <v>0.0261290558473699</v>
      </c>
      <c r="N10" s="17" t="n">
        <f aca="false">E10/E$39</f>
        <v>0.0511315310309718</v>
      </c>
      <c r="O10" s="18" t="n">
        <f aca="false">H10/E10</f>
        <v>1.80986283037805</v>
      </c>
    </row>
    <row r="11" customFormat="false" ht="15" hidden="false" customHeight="false" outlineLevel="0" collapsed="false">
      <c r="A11" s="15" t="s">
        <v>433</v>
      </c>
      <c r="B11" s="16" t="n">
        <v>196652</v>
      </c>
      <c r="C11" s="16" t="n">
        <v>201319</v>
      </c>
      <c r="D11" s="16" t="n">
        <v>206088</v>
      </c>
      <c r="E11" s="16" t="n">
        <v>210958</v>
      </c>
      <c r="F11" s="16" t="n">
        <v>231671</v>
      </c>
      <c r="G11" s="16" t="n">
        <v>254411</v>
      </c>
      <c r="H11" s="16" t="n">
        <v>361432</v>
      </c>
      <c r="I11" s="5" t="s">
        <v>432</v>
      </c>
      <c r="J11" s="5" t="s">
        <v>422</v>
      </c>
      <c r="K11" s="17" t="n">
        <f aca="false">(E11/B11)^(1/3)-1</f>
        <v>0.0236839101283763</v>
      </c>
      <c r="L11" s="17" t="n">
        <f aca="false">(F11/E11)^(1/4)-1</f>
        <v>0.0236910786094378</v>
      </c>
      <c r="M11" s="17" t="n">
        <f aca="false">(H11/E11)^(1/23)-1</f>
        <v>0.0236854908713491</v>
      </c>
      <c r="N11" s="17" t="n">
        <f aca="false">E11/E$39</f>
        <v>0.144350692850207</v>
      </c>
      <c r="O11" s="18" t="n">
        <f aca="false">H11/E11</f>
        <v>1.71328890110828</v>
      </c>
    </row>
    <row r="12" customFormat="false" ht="15" hidden="false" customHeight="false" outlineLevel="0" collapsed="false">
      <c r="A12" s="15" t="s">
        <v>434</v>
      </c>
      <c r="B12" s="16" t="n">
        <v>101014</v>
      </c>
      <c r="C12" s="16" t="n">
        <v>103711</v>
      </c>
      <c r="D12" s="16" t="n">
        <v>106435</v>
      </c>
      <c r="E12" s="16" t="n">
        <v>109274</v>
      </c>
      <c r="F12" s="16" t="n">
        <v>121330</v>
      </c>
      <c r="G12" s="16" t="n">
        <v>134721</v>
      </c>
      <c r="H12" s="16" t="n">
        <v>199495</v>
      </c>
      <c r="I12" s="5" t="s">
        <v>435</v>
      </c>
      <c r="J12" s="5" t="s">
        <v>422</v>
      </c>
      <c r="K12" s="17" t="n">
        <f aca="false">(E12/B12)^(1/3)-1</f>
        <v>0.0265460210646624</v>
      </c>
      <c r="L12" s="17" t="n">
        <f aca="false">(F12/E12)^(1/4)-1</f>
        <v>0.0265091837960016</v>
      </c>
      <c r="M12" s="17" t="n">
        <f aca="false">(H12/E12)^(1/23)-1</f>
        <v>0.0265163644108155</v>
      </c>
      <c r="N12" s="17" t="n">
        <f aca="false">E12/E$39</f>
        <v>0.0747721234108854</v>
      </c>
      <c r="O12" s="18" t="n">
        <f aca="false">H12/E12</f>
        <v>1.82564013397515</v>
      </c>
    </row>
    <row r="13" customFormat="false" ht="15" hidden="false" customHeight="false" outlineLevel="0" collapsed="false">
      <c r="A13" s="15" t="s">
        <v>436</v>
      </c>
      <c r="B13" s="16" t="n">
        <v>443</v>
      </c>
      <c r="C13" s="16" t="n">
        <v>445</v>
      </c>
      <c r="D13" s="16" t="n">
        <v>465</v>
      </c>
      <c r="E13" s="16" t="n">
        <v>496</v>
      </c>
      <c r="F13" s="16" t="n">
        <v>570</v>
      </c>
      <c r="G13" s="16" t="n">
        <v>664</v>
      </c>
      <c r="H13" s="16" t="n">
        <v>1180</v>
      </c>
      <c r="I13" s="5" t="s">
        <v>437</v>
      </c>
      <c r="J13" s="5" t="s">
        <v>438</v>
      </c>
      <c r="K13" s="17" t="n">
        <f aca="false">(E13/B13)^(1/3)-1</f>
        <v>0.0383871778386822</v>
      </c>
      <c r="L13" s="17" t="n">
        <f aca="false">(F13/E13)^(1/4)-1</f>
        <v>0.0353764791270406</v>
      </c>
      <c r="M13" s="17" t="n">
        <f aca="false">(H13/E13)^(1/23)-1</f>
        <v>0.0384013205963312</v>
      </c>
      <c r="N13" s="17" t="n">
        <f aca="false">E13/E$39</f>
        <v>0.000339394304334052</v>
      </c>
      <c r="O13" s="18" t="n">
        <f aca="false">H13/E13</f>
        <v>2.37903225806452</v>
      </c>
    </row>
    <row r="14" customFormat="false" ht="15" hidden="false" customHeight="false" outlineLevel="0" collapsed="false">
      <c r="A14" s="15" t="s">
        <v>439</v>
      </c>
      <c r="B14" s="16" t="n">
        <v>1015</v>
      </c>
      <c r="C14" s="16" t="n">
        <v>1035</v>
      </c>
      <c r="D14" s="16" t="n">
        <v>1064</v>
      </c>
      <c r="E14" s="16" t="n">
        <v>1087</v>
      </c>
      <c r="F14" s="16" t="n">
        <v>1194</v>
      </c>
      <c r="G14" s="16" t="n">
        <v>1310</v>
      </c>
      <c r="H14" s="16" t="n">
        <v>1859</v>
      </c>
      <c r="I14" s="5" t="s">
        <v>437</v>
      </c>
      <c r="J14" s="5" t="s">
        <v>440</v>
      </c>
      <c r="K14" s="17" t="n">
        <f aca="false">(E14/B14)^(1/3)-1</f>
        <v>0.0231072619681045</v>
      </c>
      <c r="L14" s="17" t="n">
        <f aca="false">(F14/E14)^(1/4)-1</f>
        <v>0.0237494835414867</v>
      </c>
      <c r="M14" s="17" t="n">
        <f aca="false">(H14/E14)^(1/23)-1</f>
        <v>0.0236054793285452</v>
      </c>
      <c r="N14" s="17" t="n">
        <f aca="false">E14/E$39</f>
        <v>0.00074379356615144</v>
      </c>
      <c r="O14" s="18" t="n">
        <f aca="false">H14/E14</f>
        <v>1.71021159153634</v>
      </c>
    </row>
    <row r="15" customFormat="false" ht="15" hidden="false" customHeight="false" outlineLevel="0" collapsed="false">
      <c r="A15" s="15" t="s">
        <v>441</v>
      </c>
      <c r="B15" s="16" t="n">
        <v>1719</v>
      </c>
      <c r="C15" s="16" t="n">
        <v>1768</v>
      </c>
      <c r="D15" s="16" t="n">
        <v>1805</v>
      </c>
      <c r="E15" s="16" t="n">
        <v>1854</v>
      </c>
      <c r="F15" s="16" t="n">
        <v>2046</v>
      </c>
      <c r="G15" s="16" t="n">
        <v>2259</v>
      </c>
      <c r="H15" s="16" t="n">
        <v>3275</v>
      </c>
      <c r="I15" s="5" t="s">
        <v>437</v>
      </c>
      <c r="J15" s="5" t="s">
        <v>442</v>
      </c>
      <c r="K15" s="17" t="n">
        <f aca="false">(E15/B15)^(1/3)-1</f>
        <v>0.0255211409523881</v>
      </c>
      <c r="L15" s="17" t="n">
        <f aca="false">(F15/E15)^(1/4)-1</f>
        <v>0.024941256377111</v>
      </c>
      <c r="M15" s="17" t="n">
        <f aca="false">(H15/E15)^(1/23)-1</f>
        <v>0.0250464519296809</v>
      </c>
      <c r="N15" s="17" t="n">
        <f aca="false">E15/E$39</f>
        <v>0.00126862306499059</v>
      </c>
      <c r="O15" s="18" t="n">
        <f aca="false">H15/E15</f>
        <v>1.76645091693635</v>
      </c>
    </row>
    <row r="16" customFormat="false" ht="15" hidden="false" customHeight="false" outlineLevel="0" collapsed="false">
      <c r="A16" s="15" t="s">
        <v>443</v>
      </c>
      <c r="B16" s="16" t="n">
        <v>1844</v>
      </c>
      <c r="C16" s="16" t="n">
        <v>1899</v>
      </c>
      <c r="D16" s="16" t="n">
        <v>2022</v>
      </c>
      <c r="E16" s="16" t="n">
        <v>2097</v>
      </c>
      <c r="F16" s="16" t="n">
        <v>2512</v>
      </c>
      <c r="G16" s="16" t="n">
        <v>3006</v>
      </c>
      <c r="H16" s="16" t="n">
        <v>5889</v>
      </c>
      <c r="I16" s="5" t="s">
        <v>437</v>
      </c>
      <c r="J16" s="5" t="s">
        <v>444</v>
      </c>
      <c r="K16" s="17" t="n">
        <f aca="false">(E16/B16)^(1/3)-1</f>
        <v>0.0437884925525003</v>
      </c>
      <c r="L16" s="17" t="n">
        <f aca="false">(F16/E16)^(1/4)-1</f>
        <v>0.0461773209494185</v>
      </c>
      <c r="M16" s="17" t="n">
        <f aca="false">(H16/E16)^(1/23)-1</f>
        <v>0.0459177349831188</v>
      </c>
      <c r="N16" s="17" t="n">
        <f aca="false">E16/E$39</f>
        <v>0.00143489890360586</v>
      </c>
      <c r="O16" s="18" t="n">
        <f aca="false">H16/E16</f>
        <v>2.80829756795422</v>
      </c>
    </row>
    <row r="17" customFormat="false" ht="15" hidden="false" customHeight="false" outlineLevel="0" collapsed="false">
      <c r="A17" s="15" t="s">
        <v>445</v>
      </c>
      <c r="B17" s="16" t="n">
        <v>1783</v>
      </c>
      <c r="C17" s="16" t="n">
        <v>1837</v>
      </c>
      <c r="D17" s="16" t="n">
        <v>1919</v>
      </c>
      <c r="E17" s="16" t="n">
        <v>1985</v>
      </c>
      <c r="F17" s="16" t="n">
        <v>2534</v>
      </c>
      <c r="G17" s="16" t="n">
        <v>2817</v>
      </c>
      <c r="H17" s="16" t="n">
        <v>3990</v>
      </c>
      <c r="I17" s="5" t="s">
        <v>437</v>
      </c>
      <c r="J17" s="5" t="s">
        <v>446</v>
      </c>
      <c r="K17" s="17" t="n">
        <f aca="false">(E17/B17)^(1/3)-1</f>
        <v>0.0364214420045423</v>
      </c>
      <c r="L17" s="17" t="n">
        <f aca="false">(F17/E17)^(1/4)-1</f>
        <v>0.0629467902944676</v>
      </c>
      <c r="M17" s="17" t="n">
        <f aca="false">(H17/E17)^(1/23)-1</f>
        <v>0.0308207381770294</v>
      </c>
      <c r="N17" s="17" t="n">
        <f aca="false">E17/E$39</f>
        <v>0.00135826148004656</v>
      </c>
      <c r="O17" s="18" t="n">
        <f aca="false">H17/E17</f>
        <v>2.01007556675063</v>
      </c>
    </row>
    <row r="18" customFormat="false" ht="15" hidden="false" customHeight="false" outlineLevel="0" collapsed="false">
      <c r="A18" s="15" t="s">
        <v>447</v>
      </c>
      <c r="B18" s="16" t="n">
        <v>2507</v>
      </c>
      <c r="C18" s="16" t="n">
        <v>2574</v>
      </c>
      <c r="D18" s="16" t="n">
        <v>2623</v>
      </c>
      <c r="E18" s="16" t="n">
        <v>2715</v>
      </c>
      <c r="F18" s="16" t="n">
        <v>2936</v>
      </c>
      <c r="G18" s="16" t="n">
        <v>3187</v>
      </c>
      <c r="H18" s="16" t="n">
        <v>4554</v>
      </c>
      <c r="I18" s="5" t="s">
        <v>437</v>
      </c>
      <c r="J18" s="5" t="s">
        <v>448</v>
      </c>
      <c r="K18" s="17" t="n">
        <f aca="false">(E18/B18)^(1/3)-1</f>
        <v>0.0269244639738073</v>
      </c>
      <c r="L18" s="17" t="n">
        <f aca="false">(F18/E18)^(1/4)-1</f>
        <v>0.0197566693153606</v>
      </c>
      <c r="M18" s="17" t="n">
        <f aca="false">(H18/E18)^(1/23)-1</f>
        <v>0.0227423171409118</v>
      </c>
      <c r="N18" s="17" t="n">
        <f aca="false">E18/E$39</f>
        <v>0.00185777325860272</v>
      </c>
      <c r="O18" s="18" t="n">
        <f aca="false">H18/E18</f>
        <v>1.67734806629834</v>
      </c>
    </row>
    <row r="19" customFormat="false" ht="15" hidden="false" customHeight="false" outlineLevel="0" collapsed="false">
      <c r="A19" s="15" t="s">
        <v>449</v>
      </c>
      <c r="B19" s="16" t="n">
        <v>2808</v>
      </c>
      <c r="C19" s="16" t="n">
        <v>2879</v>
      </c>
      <c r="D19" s="16" t="n">
        <v>2943</v>
      </c>
      <c r="E19" s="16" t="n">
        <v>3025</v>
      </c>
      <c r="F19" s="16" t="n">
        <v>3295</v>
      </c>
      <c r="G19" s="16" t="n">
        <v>3548</v>
      </c>
      <c r="H19" s="16" t="n">
        <v>4937</v>
      </c>
      <c r="I19" s="5" t="s">
        <v>437</v>
      </c>
      <c r="J19" s="5" t="s">
        <v>449</v>
      </c>
      <c r="K19" s="17" t="n">
        <f aca="false">(E19/B19)^(1/3)-1</f>
        <v>0.0251232696574097</v>
      </c>
      <c r="L19" s="17" t="n">
        <f aca="false">(F19/E19)^(1/4)-1</f>
        <v>0.0216038242459269</v>
      </c>
      <c r="M19" s="17" t="n">
        <f aca="false">(H19/E19)^(1/23)-1</f>
        <v>0.0215260999451823</v>
      </c>
      <c r="N19" s="17" t="n">
        <f aca="false">E19/E$39</f>
        <v>0.0020698946988115</v>
      </c>
      <c r="O19" s="18" t="n">
        <f aca="false">H19/E19</f>
        <v>1.63206611570248</v>
      </c>
    </row>
    <row r="20" customFormat="false" ht="15" hidden="false" customHeight="false" outlineLevel="0" collapsed="false">
      <c r="A20" s="15" t="s">
        <v>450</v>
      </c>
      <c r="B20" s="16" t="n">
        <v>36948</v>
      </c>
      <c r="C20" s="16" t="n">
        <v>37880</v>
      </c>
      <c r="D20" s="16" t="n">
        <v>38834</v>
      </c>
      <c r="E20" s="16" t="n">
        <v>39787</v>
      </c>
      <c r="F20" s="16" t="n">
        <v>42332</v>
      </c>
      <c r="G20" s="16" t="n">
        <v>46106</v>
      </c>
      <c r="H20" s="16" t="n">
        <v>65623</v>
      </c>
      <c r="I20" s="5" t="s">
        <v>437</v>
      </c>
      <c r="J20" s="5" t="s">
        <v>451</v>
      </c>
      <c r="K20" s="17" t="n">
        <f aca="false">(E20/B20)^(1/3)-1</f>
        <v>0.0249832138036283</v>
      </c>
      <c r="L20" s="17" t="n">
        <f aca="false">(F20/E20)^(1/4)-1</f>
        <v>0.0156215289346564</v>
      </c>
      <c r="M20" s="17" t="n">
        <f aca="false">(H20/E20)^(1/23)-1</f>
        <v>0.0219942993671634</v>
      </c>
      <c r="N20" s="17" t="n">
        <f aca="false">E20/E$39</f>
        <v>0.0272247604567317</v>
      </c>
      <c r="O20" s="18" t="n">
        <f aca="false">H20/E20</f>
        <v>1.64935783044713</v>
      </c>
    </row>
    <row r="21" customFormat="false" ht="15" hidden="false" customHeight="false" outlineLevel="0" collapsed="false">
      <c r="A21" s="15" t="s">
        <v>452</v>
      </c>
      <c r="B21" s="16" t="n">
        <v>105814</v>
      </c>
      <c r="C21" s="16" t="n">
        <v>108394</v>
      </c>
      <c r="D21" s="16" t="n">
        <v>110972</v>
      </c>
      <c r="E21" s="16" t="n">
        <v>113581</v>
      </c>
      <c r="F21" s="16" t="n">
        <v>120444</v>
      </c>
      <c r="G21" s="16" t="n">
        <v>130956</v>
      </c>
      <c r="H21" s="16" t="n">
        <v>187575</v>
      </c>
      <c r="I21" s="5" t="s">
        <v>435</v>
      </c>
      <c r="J21" s="5" t="s">
        <v>422</v>
      </c>
      <c r="K21" s="17" t="n">
        <f aca="false">(E21/B21)^(1/3)-1</f>
        <v>0.0238920839763586</v>
      </c>
      <c r="L21" s="17" t="n">
        <f aca="false">(F21/E21)^(1/4)-1</f>
        <v>0.014775259698355</v>
      </c>
      <c r="M21" s="17" t="n">
        <f aca="false">(H21/E21)^(1/23)-1</f>
        <v>0.0220510219876668</v>
      </c>
      <c r="N21" s="17" t="n">
        <f aca="false">E21/E$39</f>
        <v>0.0777192429043668</v>
      </c>
      <c r="O21" s="18" t="n">
        <f aca="false">H21/E21</f>
        <v>1.65146459354998</v>
      </c>
    </row>
    <row r="22" customFormat="false" ht="15" hidden="false" customHeight="false" outlineLevel="0" collapsed="false">
      <c r="A22" s="15" t="s">
        <v>453</v>
      </c>
      <c r="B22" s="16" t="n">
        <v>33045</v>
      </c>
      <c r="C22" s="16" t="n">
        <v>33961</v>
      </c>
      <c r="D22" s="16" t="n">
        <v>34910</v>
      </c>
      <c r="E22" s="16" t="n">
        <v>35860</v>
      </c>
      <c r="F22" s="16" t="n">
        <v>38798</v>
      </c>
      <c r="G22" s="16" t="n">
        <v>43330</v>
      </c>
      <c r="H22" s="16" t="n">
        <v>64198</v>
      </c>
      <c r="I22" s="5" t="s">
        <v>435</v>
      </c>
      <c r="J22" s="5" t="s">
        <v>422</v>
      </c>
      <c r="K22" s="17" t="n">
        <f aca="false">(E22/B22)^(1/3)-1</f>
        <v>0.0276254301584649</v>
      </c>
      <c r="L22" s="17" t="n">
        <f aca="false">(F22/E22)^(1/4)-1</f>
        <v>0.0198816158650714</v>
      </c>
      <c r="M22" s="17" t="n">
        <f aca="false">(H22/E22)^(1/23)-1</f>
        <v>0.025642809622378</v>
      </c>
      <c r="N22" s="17" t="n">
        <f aca="false">E22/E$39</f>
        <v>0.0245376607931837</v>
      </c>
      <c r="O22" s="18" t="n">
        <f aca="false">H22/E22</f>
        <v>1.79023982152817</v>
      </c>
    </row>
    <row r="23" customFormat="false" ht="15" hidden="false" customHeight="false" outlineLevel="0" collapsed="false">
      <c r="A23" s="15" t="s">
        <v>454</v>
      </c>
      <c r="B23" s="16" t="n">
        <v>49604</v>
      </c>
      <c r="C23" s="16" t="n">
        <v>50692</v>
      </c>
      <c r="D23" s="16" t="n">
        <v>51829</v>
      </c>
      <c r="E23" s="16" t="n">
        <v>52960</v>
      </c>
      <c r="F23" s="16" t="n">
        <v>57804</v>
      </c>
      <c r="G23" s="16" t="n">
        <v>63085</v>
      </c>
      <c r="H23" s="16" t="n">
        <v>87562</v>
      </c>
      <c r="I23" s="5" t="s">
        <v>435</v>
      </c>
      <c r="J23" s="5" t="s">
        <v>422</v>
      </c>
      <c r="K23" s="17" t="n">
        <f aca="false">(E23/B23)^(1/3)-1</f>
        <v>0.0220616491186088</v>
      </c>
      <c r="L23" s="17" t="n">
        <f aca="false">(F23/E23)^(1/4)-1</f>
        <v>0.0221213949222454</v>
      </c>
      <c r="M23" s="17" t="n">
        <f aca="false">(H23/E23)^(1/23)-1</f>
        <v>0.0221020225214212</v>
      </c>
      <c r="N23" s="17" t="n">
        <f aca="false">E23/E$39</f>
        <v>0.0362385531401842</v>
      </c>
      <c r="O23" s="18" t="n">
        <f aca="false">H23/E23</f>
        <v>1.65336102719033</v>
      </c>
    </row>
    <row r="24" customFormat="false" ht="15" hidden="false" customHeight="false" outlineLevel="0" collapsed="false">
      <c r="A24" s="15" t="s">
        <v>455</v>
      </c>
      <c r="B24" s="16" t="n">
        <v>27113</v>
      </c>
      <c r="C24" s="16" t="n">
        <v>27828</v>
      </c>
      <c r="D24" s="16" t="n">
        <v>28529</v>
      </c>
      <c r="E24" s="16" t="n">
        <v>29253</v>
      </c>
      <c r="F24" s="16" t="n">
        <v>32371</v>
      </c>
      <c r="G24" s="16" t="n">
        <v>35816</v>
      </c>
      <c r="H24" s="16" t="n">
        <v>52330</v>
      </c>
      <c r="I24" s="5" t="s">
        <v>432</v>
      </c>
      <c r="J24" s="5" t="s">
        <v>422</v>
      </c>
      <c r="K24" s="17" t="n">
        <f aca="false">(E24/B24)^(1/3)-1</f>
        <v>0.0256462875030983</v>
      </c>
      <c r="L24" s="17" t="n">
        <f aca="false">(F24/E24)^(1/4)-1</f>
        <v>0.0256434861067221</v>
      </c>
      <c r="M24" s="17" t="n">
        <f aca="false">(H24/E24)^(1/23)-1</f>
        <v>0.0256088345843135</v>
      </c>
      <c r="N24" s="17" t="n">
        <f aca="false">E24/E$39</f>
        <v>0.0200167370658952</v>
      </c>
      <c r="O24" s="18" t="n">
        <f aca="false">H24/E24</f>
        <v>1.78887635456193</v>
      </c>
    </row>
    <row r="25" customFormat="false" ht="15" hidden="false" customHeight="false" outlineLevel="0" collapsed="false">
      <c r="A25" s="15" t="s">
        <v>456</v>
      </c>
      <c r="B25" s="16" t="n">
        <v>75911</v>
      </c>
      <c r="C25" s="16" t="n">
        <v>77888</v>
      </c>
      <c r="D25" s="16" t="n">
        <v>79871</v>
      </c>
      <c r="E25" s="16" t="n">
        <v>81901</v>
      </c>
      <c r="F25" s="16" t="n">
        <v>90634</v>
      </c>
      <c r="G25" s="16" t="n">
        <v>100286</v>
      </c>
      <c r="H25" s="16" t="n">
        <v>146572</v>
      </c>
      <c r="I25" s="5" t="s">
        <v>432</v>
      </c>
      <c r="J25" s="5" t="s">
        <v>422</v>
      </c>
      <c r="K25" s="17" t="n">
        <f aca="false">(E25/B25)^(1/3)-1</f>
        <v>0.0256397180886923</v>
      </c>
      <c r="L25" s="17" t="n">
        <f aca="false">(F25/E25)^(1/4)-1</f>
        <v>0.0256530733668792</v>
      </c>
      <c r="M25" s="17" t="n">
        <f aca="false">(H25/E25)^(1/23)-1</f>
        <v>0.0256274690246188</v>
      </c>
      <c r="N25" s="17" t="n">
        <f aca="false">E25/E$39</f>
        <v>0.0560418002404499</v>
      </c>
      <c r="O25" s="18" t="n">
        <f aca="false">H25/E25</f>
        <v>1.78962405831431</v>
      </c>
    </row>
    <row r="26" customFormat="false" ht="15" hidden="false" customHeight="false" outlineLevel="0" collapsed="false">
      <c r="A26" s="15" t="s">
        <v>457</v>
      </c>
      <c r="B26" s="16" t="n">
        <v>67841</v>
      </c>
      <c r="C26" s="16" t="n">
        <v>69660</v>
      </c>
      <c r="D26" s="16" t="n">
        <v>71507</v>
      </c>
      <c r="E26" s="16" t="n">
        <v>73382</v>
      </c>
      <c r="F26" s="16" t="n">
        <v>81492</v>
      </c>
      <c r="G26" s="16" t="n">
        <v>90485</v>
      </c>
      <c r="H26" s="16" t="n">
        <v>133987</v>
      </c>
      <c r="I26" s="5" t="s">
        <v>458</v>
      </c>
      <c r="J26" s="5" t="s">
        <v>422</v>
      </c>
      <c r="K26" s="17" t="n">
        <f aca="false">(E26/B26)^(1/3)-1</f>
        <v>0.0265161057632088</v>
      </c>
      <c r="L26" s="17" t="n">
        <f aca="false">(F26/E26)^(1/4)-1</f>
        <v>0.0265529564668348</v>
      </c>
      <c r="M26" s="17" t="n">
        <f aca="false">(H26/E26)^(1/23)-1</f>
        <v>0.0265223192274231</v>
      </c>
      <c r="N26" s="17" t="n">
        <f aca="false">E26/E$39</f>
        <v>0.0502125662109705</v>
      </c>
      <c r="O26" s="18" t="n">
        <f aca="false">H26/E26</f>
        <v>1.82588373170532</v>
      </c>
    </row>
    <row r="27" customFormat="false" ht="15" hidden="false" customHeight="false" outlineLevel="0" collapsed="false">
      <c r="A27" s="15" t="s">
        <v>459</v>
      </c>
      <c r="B27" s="16" t="n">
        <v>118</v>
      </c>
      <c r="C27" s="16" t="n">
        <v>124</v>
      </c>
      <c r="D27" s="16" t="n">
        <v>135</v>
      </c>
      <c r="E27" s="16" t="n">
        <v>150</v>
      </c>
      <c r="F27" s="16" t="n">
        <v>204</v>
      </c>
      <c r="G27" s="16" t="n">
        <v>282</v>
      </c>
      <c r="H27" s="16" t="n">
        <v>943</v>
      </c>
      <c r="I27" s="5" t="s">
        <v>458</v>
      </c>
      <c r="J27" s="5" t="s">
        <v>422</v>
      </c>
      <c r="K27" s="17" t="n">
        <f aca="false">(E27/B27)^(1/3)-1</f>
        <v>0.0832692548376697</v>
      </c>
      <c r="L27" s="17" t="n">
        <f aca="false">(F27/E27)^(1/4)-1</f>
        <v>0.0799029488658043</v>
      </c>
      <c r="M27" s="17" t="n">
        <f aca="false">(H27/E27)^(1/23)-1</f>
        <v>0.0832131706378554</v>
      </c>
      <c r="N27" s="17" t="n">
        <f aca="false">E27/E$39</f>
        <v>0.000102639406552637</v>
      </c>
      <c r="O27" s="18" t="n">
        <f aca="false">H27/E27</f>
        <v>6.28666666666667</v>
      </c>
    </row>
    <row r="28" customFormat="false" ht="15" hidden="false" customHeight="false" outlineLevel="0" collapsed="false">
      <c r="A28" s="15" t="s">
        <v>460</v>
      </c>
      <c r="B28" s="16" t="n">
        <v>186</v>
      </c>
      <c r="C28" s="16" t="n">
        <v>206</v>
      </c>
      <c r="D28" s="16" t="n">
        <v>219</v>
      </c>
      <c r="E28" s="16" t="n">
        <v>238</v>
      </c>
      <c r="F28" s="16" t="n">
        <v>328</v>
      </c>
      <c r="G28" s="16" t="n">
        <v>452</v>
      </c>
      <c r="H28" s="16" t="n">
        <v>1504</v>
      </c>
      <c r="I28" s="5" t="s">
        <v>458</v>
      </c>
      <c r="J28" s="5" t="s">
        <v>422</v>
      </c>
      <c r="K28" s="17" t="n">
        <f aca="false">(E28/B28)^(1/3)-1</f>
        <v>0.0856454193213141</v>
      </c>
      <c r="L28" s="17" t="n">
        <f aca="false">(F28/E28)^(1/4)-1</f>
        <v>0.0834882892527822</v>
      </c>
      <c r="M28" s="17" t="n">
        <f aca="false">(H28/E28)^(1/23)-1</f>
        <v>0.0834572433412515</v>
      </c>
      <c r="N28" s="17" t="n">
        <f aca="false">E28/E$39</f>
        <v>0.000162854525063517</v>
      </c>
      <c r="O28" s="18" t="n">
        <f aca="false">H28/E28</f>
        <v>6.31932773109244</v>
      </c>
    </row>
    <row r="29" customFormat="false" ht="15" hidden="false" customHeight="false" outlineLevel="0" collapsed="false">
      <c r="A29" s="15" t="s">
        <v>52</v>
      </c>
      <c r="B29" s="16" t="n">
        <v>113374</v>
      </c>
      <c r="C29" s="16" t="n">
        <v>116121</v>
      </c>
      <c r="D29" s="16" t="n">
        <v>118906</v>
      </c>
      <c r="E29" s="16" t="n">
        <v>121717</v>
      </c>
      <c r="F29" s="16" t="n">
        <v>133825</v>
      </c>
      <c r="G29" s="16" t="n">
        <v>147116</v>
      </c>
      <c r="H29" s="16" t="n">
        <v>209831</v>
      </c>
      <c r="I29" s="5" t="s">
        <v>458</v>
      </c>
      <c r="J29" s="5" t="s">
        <v>461</v>
      </c>
      <c r="K29" s="17" t="n">
        <f aca="false">(E29/B29)^(1/3)-1</f>
        <v>0.0239511939211188</v>
      </c>
      <c r="L29" s="17" t="n">
        <f aca="false">(F29/E29)^(1/4)-1</f>
        <v>0.0239918571371049</v>
      </c>
      <c r="M29" s="17" t="n">
        <f aca="false">(H29/E29)^(1/23)-1</f>
        <v>0.0239609843231137</v>
      </c>
      <c r="N29" s="17" t="n">
        <f aca="false">E29/E$39</f>
        <v>0.0832864043157818</v>
      </c>
      <c r="O29" s="18" t="n">
        <f aca="false">H29/E29</f>
        <v>1.72392517068281</v>
      </c>
    </row>
    <row r="30" customFormat="false" ht="15" hidden="false" customHeight="false" outlineLevel="0" collapsed="false">
      <c r="A30" s="15" t="s">
        <v>462</v>
      </c>
      <c r="B30" s="16" t="n">
        <v>46464</v>
      </c>
      <c r="C30" s="16" t="n">
        <v>47620</v>
      </c>
      <c r="D30" s="16" t="n">
        <v>48775</v>
      </c>
      <c r="E30" s="16" t="n">
        <v>49983</v>
      </c>
      <c r="F30" s="16" t="n">
        <v>55083</v>
      </c>
      <c r="G30" s="16" t="n">
        <v>60706</v>
      </c>
      <c r="H30" s="16" t="n">
        <v>87401</v>
      </c>
      <c r="I30" s="5" t="s">
        <v>463</v>
      </c>
      <c r="J30" s="5" t="s">
        <v>464</v>
      </c>
      <c r="K30" s="17" t="n">
        <f aca="false">(E30/B30)^(1/3)-1</f>
        <v>0.0246335564876805</v>
      </c>
      <c r="L30" s="17" t="n">
        <f aca="false">(F30/E30)^(1/4)-1</f>
        <v>0.0245869417870697</v>
      </c>
      <c r="M30" s="17" t="n">
        <f aca="false">(H30/E30)^(1/23)-1</f>
        <v>0.0245942555115803</v>
      </c>
      <c r="N30" s="17" t="n">
        <f aca="false">E30/E$39</f>
        <v>0.0342015030514696</v>
      </c>
      <c r="O30" s="18" t="n">
        <f aca="false">H30/E30</f>
        <v>1.74861452893984</v>
      </c>
    </row>
    <row r="31" customFormat="false" ht="15" hidden="false" customHeight="false" outlineLevel="0" collapsed="false">
      <c r="A31" s="15" t="s">
        <v>465</v>
      </c>
      <c r="B31" s="16" t="n">
        <v>68883</v>
      </c>
      <c r="C31" s="16" t="n">
        <v>70424</v>
      </c>
      <c r="D31" s="16" t="n">
        <v>71970</v>
      </c>
      <c r="E31" s="16" t="n">
        <v>73536</v>
      </c>
      <c r="F31" s="16" t="n">
        <v>80241</v>
      </c>
      <c r="G31" s="16" t="n">
        <v>87546</v>
      </c>
      <c r="H31" s="16" t="n">
        <v>121375</v>
      </c>
      <c r="I31" s="5" t="s">
        <v>463</v>
      </c>
      <c r="J31" s="5" t="s">
        <v>464</v>
      </c>
      <c r="K31" s="17" t="n">
        <f aca="false">(E31/B31)^(1/3)-1</f>
        <v>0.0220276603627192</v>
      </c>
      <c r="L31" s="17" t="n">
        <f aca="false">(F31/E31)^(1/4)-1</f>
        <v>0.0220545652281425</v>
      </c>
      <c r="M31" s="17" t="n">
        <f aca="false">(H31/E31)^(1/23)-1</f>
        <v>0.0220264627402229</v>
      </c>
      <c r="N31" s="17" t="n">
        <f aca="false">E31/E$39</f>
        <v>0.0503179426683646</v>
      </c>
      <c r="O31" s="18" t="n">
        <f aca="false">H31/E31</f>
        <v>1.6505521105309</v>
      </c>
    </row>
    <row r="32" customFormat="false" ht="15" hidden="false" customHeight="false" outlineLevel="0" collapsed="false">
      <c r="A32" s="15" t="s">
        <v>466</v>
      </c>
      <c r="B32" s="16" t="n">
        <v>83824</v>
      </c>
      <c r="C32" s="16" t="n">
        <v>85968</v>
      </c>
      <c r="D32" s="16" t="n">
        <v>88126</v>
      </c>
      <c r="E32" s="16" t="n">
        <v>90349</v>
      </c>
      <c r="F32" s="16" t="n">
        <v>99844</v>
      </c>
      <c r="G32" s="16" t="n">
        <v>110330</v>
      </c>
      <c r="H32" s="16" t="n">
        <v>160451</v>
      </c>
      <c r="I32" s="5" t="s">
        <v>463</v>
      </c>
      <c r="J32" s="5" t="s">
        <v>464</v>
      </c>
      <c r="K32" s="17" t="n">
        <f aca="false">(E32/B32)^(1/3)-1</f>
        <v>0.0253016501057419</v>
      </c>
      <c r="L32" s="17" t="n">
        <f aca="false">(F32/E32)^(1/4)-1</f>
        <v>0.0252969262159921</v>
      </c>
      <c r="M32" s="17" t="n">
        <f aca="false">(H32/E32)^(1/23)-1</f>
        <v>0.0252843014014699</v>
      </c>
      <c r="N32" s="17" t="n">
        <f aca="false">E32/E$39</f>
        <v>0.0618224516174944</v>
      </c>
      <c r="O32" s="18" t="n">
        <f aca="false">H32/E32</f>
        <v>1.77590233428151</v>
      </c>
    </row>
    <row r="33" customFormat="false" ht="15" hidden="false" customHeight="false" outlineLevel="0" collapsed="false">
      <c r="A33" s="15" t="s">
        <v>467</v>
      </c>
      <c r="B33" s="16" t="n">
        <v>1591</v>
      </c>
      <c r="C33" s="16" t="n">
        <v>1618</v>
      </c>
      <c r="D33" s="16" t="n">
        <v>1652</v>
      </c>
      <c r="E33" s="16" t="n">
        <v>1700</v>
      </c>
      <c r="F33" s="16" t="n">
        <v>1850</v>
      </c>
      <c r="G33" s="16" t="n">
        <v>2020</v>
      </c>
      <c r="H33" s="16" t="n">
        <v>2808</v>
      </c>
      <c r="I33" s="5" t="s">
        <v>458</v>
      </c>
      <c r="J33" s="5" t="s">
        <v>461</v>
      </c>
      <c r="K33" s="17" t="n">
        <f aca="false">(E33/B33)^(1/3)-1</f>
        <v>0.0223342576302612</v>
      </c>
      <c r="L33" s="17" t="n">
        <f aca="false">(F33/E33)^(1/4)-1</f>
        <v>0.0213643657892182</v>
      </c>
      <c r="M33" s="17" t="n">
        <f aca="false">(H33/E33)^(1/23)-1</f>
        <v>0.0220590965980001</v>
      </c>
      <c r="N33" s="17" t="n">
        <f aca="false">E33/E$39</f>
        <v>0.00116324660759655</v>
      </c>
      <c r="O33" s="18" t="n">
        <f aca="false">H33/E33</f>
        <v>1.65176470588235</v>
      </c>
    </row>
    <row r="34" customFormat="false" ht="15" hidden="false" customHeight="false" outlineLevel="0" collapsed="false">
      <c r="A34" s="15" t="s">
        <v>468</v>
      </c>
      <c r="B34" s="16" t="n">
        <v>27</v>
      </c>
      <c r="C34" s="16" t="n">
        <v>27</v>
      </c>
      <c r="D34" s="16" t="n">
        <v>28</v>
      </c>
      <c r="E34" s="16" t="n">
        <v>28</v>
      </c>
      <c r="F34" s="16" t="n">
        <v>30</v>
      </c>
      <c r="G34" s="16" t="n">
        <v>32</v>
      </c>
      <c r="H34" s="16" t="n">
        <v>39</v>
      </c>
      <c r="I34" s="5" t="s">
        <v>463</v>
      </c>
      <c r="J34" s="5" t="s">
        <v>464</v>
      </c>
      <c r="K34" s="17" t="n">
        <f aca="false">(E34/B34)^(1/3)-1</f>
        <v>0.0121963239585541</v>
      </c>
      <c r="L34" s="17" t="n">
        <f aca="false">(F34/E34)^(1/4)-1</f>
        <v>0.0173978273092248</v>
      </c>
      <c r="M34" s="17" t="n">
        <f aca="false">(H34/E34)^(1/23)-1</f>
        <v>0.0145111105749838</v>
      </c>
      <c r="N34" s="17" t="n">
        <f aca="false">E34/E$39</f>
        <v>1.91593558898255E-005</v>
      </c>
      <c r="O34" s="18" t="n">
        <f aca="false">H34/E34</f>
        <v>1.39285714285714</v>
      </c>
    </row>
    <row r="35" customFormat="false" ht="28.35" hidden="false" customHeight="false" outlineLevel="0" collapsed="false">
      <c r="A35" s="15" t="s">
        <v>469</v>
      </c>
      <c r="B35" s="16" t="n">
        <v>56148</v>
      </c>
      <c r="C35" s="16" t="n">
        <v>57155</v>
      </c>
      <c r="D35" s="16" t="n">
        <v>58139</v>
      </c>
      <c r="E35" s="16" t="n">
        <v>59143</v>
      </c>
      <c r="F35" s="16" t="n">
        <v>63388</v>
      </c>
      <c r="G35" s="16" t="n">
        <v>67929</v>
      </c>
      <c r="H35" s="16" t="n">
        <v>88051</v>
      </c>
      <c r="I35" s="5" t="s">
        <v>463</v>
      </c>
      <c r="J35" s="5" t="s">
        <v>470</v>
      </c>
      <c r="K35" s="17" t="n">
        <f aca="false">(E35/B35)^(1/3)-1</f>
        <v>0.01747329557118</v>
      </c>
      <c r="L35" s="17" t="n">
        <f aca="false">(F35/E35)^(1/4)-1</f>
        <v>0.0174801018414712</v>
      </c>
      <c r="M35" s="17" t="n">
        <f aca="false">(H35/E35)^(1/23)-1</f>
        <v>0.017453075315385</v>
      </c>
      <c r="N35" s="17" t="n">
        <f aca="false">E35/E$39</f>
        <v>0.0404693494782839</v>
      </c>
      <c r="O35" s="18" t="n">
        <f aca="false">H35/E35</f>
        <v>1.48878142806418</v>
      </c>
    </row>
    <row r="36" customFormat="false" ht="15" hidden="false" customHeight="false" outlineLevel="0" collapsed="false">
      <c r="A36" s="15" t="s">
        <v>471</v>
      </c>
      <c r="B36" s="16" t="n">
        <v>86596</v>
      </c>
      <c r="C36" s="16" t="n">
        <v>88866</v>
      </c>
      <c r="D36" s="16" t="n">
        <v>91184</v>
      </c>
      <c r="E36" s="16" t="n">
        <v>93536</v>
      </c>
      <c r="F36" s="16" t="n">
        <v>103676</v>
      </c>
      <c r="G36" s="16" t="n">
        <v>114902</v>
      </c>
      <c r="H36" s="16" t="n">
        <v>168953</v>
      </c>
      <c r="I36" s="5" t="s">
        <v>463</v>
      </c>
      <c r="J36" s="5" t="s">
        <v>472</v>
      </c>
      <c r="K36" s="17" t="n">
        <f aca="false">(E36/B36)^(1/3)-1</f>
        <v>0.0260306175136371</v>
      </c>
      <c r="L36" s="17" t="n">
        <f aca="false">(F36/E36)^(1/4)-1</f>
        <v>0.0260649672712068</v>
      </c>
      <c r="M36" s="17" t="n">
        <f aca="false">(H36/E36)^(1/23)-1</f>
        <v>0.0260408626282471</v>
      </c>
      <c r="N36" s="17" t="n">
        <f aca="false">E36/E$39</f>
        <v>0.0640031968753828</v>
      </c>
      <c r="O36" s="18" t="n">
        <f aca="false">H36/E36</f>
        <v>1.80628848785494</v>
      </c>
    </row>
    <row r="37" customFormat="false" ht="15" hidden="false" customHeight="false" outlineLevel="0" collapsed="false">
      <c r="A37" s="15" t="s">
        <v>473</v>
      </c>
      <c r="B37" s="16" t="n">
        <v>1523</v>
      </c>
      <c r="C37" s="16" t="n">
        <v>1577</v>
      </c>
      <c r="D37" s="16" t="n">
        <v>1623</v>
      </c>
      <c r="E37" s="16" t="n">
        <v>1679</v>
      </c>
      <c r="F37" s="16" t="n">
        <v>1909</v>
      </c>
      <c r="G37" s="16" t="n">
        <v>2170</v>
      </c>
      <c r="H37" s="16" t="n">
        <v>3514</v>
      </c>
      <c r="I37" s="5" t="s">
        <v>463</v>
      </c>
      <c r="J37" s="5" t="s">
        <v>472</v>
      </c>
      <c r="K37" s="17" t="n">
        <f aca="false">(E37/B37)^(1/3)-1</f>
        <v>0.0330395074168943</v>
      </c>
      <c r="L37" s="17" t="n">
        <f aca="false">(F37/E37)^(1/4)-1</f>
        <v>0.0326159003023334</v>
      </c>
      <c r="M37" s="17" t="n">
        <f aca="false">(H37/E37)^(1/23)-1</f>
        <v>0.0326322832625812</v>
      </c>
      <c r="N37" s="17" t="n">
        <f aca="false">E37/E$39</f>
        <v>0.00114887709067918</v>
      </c>
      <c r="O37" s="18" t="n">
        <f aca="false">H37/E37</f>
        <v>2.09291244788565</v>
      </c>
    </row>
    <row r="38" customFormat="false" ht="15" hidden="false" customHeight="false" outlineLevel="0" collapsed="false">
      <c r="A38" s="15" t="s">
        <v>474</v>
      </c>
      <c r="B38" s="16" t="n">
        <v>357</v>
      </c>
      <c r="C38" s="16" t="n">
        <v>366</v>
      </c>
      <c r="D38" s="16" t="n">
        <v>380</v>
      </c>
      <c r="E38" s="16" t="n">
        <v>393</v>
      </c>
      <c r="F38" s="16" t="n">
        <v>447</v>
      </c>
      <c r="G38" s="16" t="n">
        <v>509</v>
      </c>
      <c r="H38" s="16" t="n">
        <v>830</v>
      </c>
      <c r="I38" s="5" t="s">
        <v>463</v>
      </c>
      <c r="J38" s="5" t="s">
        <v>464</v>
      </c>
      <c r="K38" s="17" t="n">
        <f aca="false">(E38/B38)^(1/3)-1</f>
        <v>0.0325429159044459</v>
      </c>
      <c r="L38" s="17" t="n">
        <f aca="false">(F38/E38)^(1/4)-1</f>
        <v>0.0327108578554363</v>
      </c>
      <c r="M38" s="17" t="n">
        <f aca="false">(H38/E38)^(1/23)-1</f>
        <v>0.0330391072349749</v>
      </c>
      <c r="N38" s="17" t="n">
        <f aca="false">E38/E$39</f>
        <v>0.000268915245167908</v>
      </c>
      <c r="O38" s="18" t="n">
        <f aca="false">H38/E38</f>
        <v>2.11195928753181</v>
      </c>
    </row>
    <row r="39" customFormat="false" ht="15" hidden="false" customHeight="false" outlineLevel="0" collapsed="false">
      <c r="A39" s="13" t="s">
        <v>475</v>
      </c>
      <c r="B39" s="19" t="n">
        <f aca="false">SUM(B2:B38)</f>
        <v>1358415</v>
      </c>
      <c r="C39" s="19" t="n">
        <f aca="false">SUM(C2:C38)</f>
        <v>1392179</v>
      </c>
      <c r="D39" s="19" t="n">
        <f aca="false">SUM(D2:D38)</f>
        <v>1426447</v>
      </c>
      <c r="E39" s="19" t="n">
        <f aca="false">SUM(E2:E38)</f>
        <v>1461427</v>
      </c>
      <c r="F39" s="19" t="n">
        <f aca="false">SUM(F2:F38)</f>
        <v>1604194</v>
      </c>
      <c r="G39" s="19" t="n">
        <f aca="false">SUM(G2:G38)</f>
        <v>1766486</v>
      </c>
      <c r="H39" s="19" t="n">
        <f aca="false">SUM(H2:H38)</f>
        <v>2547851</v>
      </c>
      <c r="I39" s="20"/>
      <c r="J39" s="20"/>
      <c r="K39" s="21" t="n">
        <f aca="false">(E39/B39)^(1/3)-1</f>
        <v>0.0246641758338408</v>
      </c>
      <c r="L39" s="21" t="n">
        <f aca="false">(F39/E39)^(1/4)-1</f>
        <v>0.0235756367953215</v>
      </c>
      <c r="M39" s="21" t="n">
        <f aca="false">(H39/E39)^(1/23)-1</f>
        <v>0.0244612061755156</v>
      </c>
      <c r="N39" s="21" t="n">
        <f aca="false">E39/E$39</f>
        <v>1</v>
      </c>
      <c r="O39" s="22" t="n">
        <f aca="false">H39/E39</f>
        <v>1.74339943083028</v>
      </c>
    </row>
    <row r="40" customFormat="false" ht="42" hidden="false" customHeight="true" outlineLevel="0" collapsed="false">
      <c r="A40" s="23" t="s">
        <v>476</v>
      </c>
      <c r="B40" s="24" t="s">
        <v>477</v>
      </c>
    </row>
    <row r="41" customFormat="false" ht="61.5" hidden="false" customHeight="true" outlineLevel="0" collapsed="false">
      <c r="A41" s="25" t="s">
        <v>478</v>
      </c>
      <c r="B41" s="26" t="s">
        <v>479</v>
      </c>
      <c r="C41" s="26"/>
      <c r="D41" s="26"/>
      <c r="E41" s="26"/>
      <c r="F41" s="26"/>
      <c r="G41" s="26"/>
      <c r="H41" s="26"/>
    </row>
    <row r="42" customFormat="false" ht="61.5" hidden="false" customHeight="true" outlineLevel="0" collapsed="false">
      <c r="A42" s="25" t="s">
        <v>480</v>
      </c>
      <c r="B42" s="26" t="s">
        <v>481</v>
      </c>
      <c r="C42" s="26"/>
      <c r="D42" s="26"/>
      <c r="E42" s="26"/>
      <c r="F42" s="26"/>
      <c r="G42" s="26"/>
      <c r="H42" s="26"/>
    </row>
  </sheetData>
  <autoFilter ref="A1:O38"/>
  <mergeCells count="2">
    <mergeCell ref="B41:H41"/>
    <mergeCell ref="B42:H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9"/>
    <col collapsed="false" customWidth="true" hidden="false" outlineLevel="0" max="3" min="3" style="0" width="26"/>
    <col collapsed="false" customWidth="true" hidden="false" outlineLevel="0" max="16" min="4" style="0" width="13"/>
    <col collapsed="false" customWidth="true" hidden="false" outlineLevel="0" max="17" min="17" style="0" width="11"/>
    <col collapsed="false" customWidth="true" hidden="false" outlineLevel="0" max="18" min="18" style="0" width="15"/>
    <col collapsed="false" customWidth="true" hidden="false" outlineLevel="0" max="19" min="19" style="0" width="13"/>
  </cols>
  <sheetData>
    <row r="1" customFormat="false" ht="45" hidden="false" customHeight="true" outlineLevel="0" collapsed="false">
      <c r="A1" s="3" t="s">
        <v>482</v>
      </c>
      <c r="B1" s="3" t="s">
        <v>483</v>
      </c>
      <c r="C1" s="3" t="s">
        <v>484</v>
      </c>
      <c r="D1" s="3" t="s">
        <v>485</v>
      </c>
      <c r="E1" s="3" t="s">
        <v>486</v>
      </c>
      <c r="F1" s="3" t="s">
        <v>487</v>
      </c>
      <c r="G1" s="3" t="s">
        <v>488</v>
      </c>
      <c r="H1" s="3" t="s">
        <v>489</v>
      </c>
      <c r="I1" s="3" t="s">
        <v>490</v>
      </c>
      <c r="J1" s="3" t="s">
        <v>491</v>
      </c>
      <c r="K1" s="3" t="s">
        <v>492</v>
      </c>
      <c r="L1" s="3" t="s">
        <v>493</v>
      </c>
      <c r="M1" s="3" t="s">
        <v>494</v>
      </c>
      <c r="N1" s="3" t="s">
        <v>495</v>
      </c>
      <c r="O1" s="3" t="s">
        <v>496</v>
      </c>
      <c r="P1" s="8" t="s">
        <v>497</v>
      </c>
      <c r="Q1" s="8" t="s">
        <v>498</v>
      </c>
      <c r="R1" s="8" t="s">
        <v>499</v>
      </c>
      <c r="S1" s="8" t="s">
        <v>500</v>
      </c>
    </row>
    <row r="2" customFormat="false" ht="15" hidden="false" customHeight="false" outlineLevel="0" collapsed="false">
      <c r="A2" s="9" t="s">
        <v>501</v>
      </c>
      <c r="B2" s="5" t="s">
        <v>502</v>
      </c>
      <c r="C2" s="5"/>
      <c r="D2" s="7" t="n">
        <v>712176</v>
      </c>
      <c r="E2" s="27" t="n">
        <v>95.6</v>
      </c>
      <c r="F2" s="27" t="n">
        <v>105.7</v>
      </c>
      <c r="G2" s="7" t="n">
        <v>9</v>
      </c>
      <c r="H2" s="7" t="n">
        <v>749251</v>
      </c>
      <c r="I2" s="27" t="n">
        <v>105.4</v>
      </c>
      <c r="J2" s="27" t="n">
        <v>109</v>
      </c>
      <c r="K2" s="7" t="n">
        <v>9</v>
      </c>
      <c r="L2" s="7" t="n">
        <v>1461427</v>
      </c>
      <c r="M2" s="27" t="n">
        <v>100.4</v>
      </c>
      <c r="N2" s="27" t="n">
        <v>107</v>
      </c>
      <c r="O2" s="7" t="n">
        <v>9</v>
      </c>
      <c r="P2" s="17" t="n">
        <f aca="false">L2/L$2</f>
        <v>1</v>
      </c>
      <c r="Q2" s="18" t="n">
        <f aca="false">IF(AND(ISNUMBER(D2),ISNUMBER(H2)),H2/D2,"")</f>
        <v>1.05205876075577</v>
      </c>
      <c r="R2" s="7" t="n">
        <f aca="false">'India Sites 2020'!J2</f>
        <v>1392179</v>
      </c>
      <c r="S2" s="28" t="n">
        <f aca="false">L2/R2-1</f>
        <v>0.0497407301790933</v>
      </c>
    </row>
    <row r="3" customFormat="false" ht="15" hidden="false" customHeight="false" outlineLevel="0" collapsed="false">
      <c r="A3" s="9" t="s">
        <v>503</v>
      </c>
      <c r="B3" s="5" t="s">
        <v>6</v>
      </c>
      <c r="C3" s="5"/>
      <c r="D3" s="7" t="n">
        <v>145844</v>
      </c>
      <c r="E3" s="27" t="n">
        <v>19.6</v>
      </c>
      <c r="F3" s="27" t="n">
        <v>21.2</v>
      </c>
      <c r="G3" s="7" t="n">
        <v>42</v>
      </c>
      <c r="H3" s="7" t="n">
        <v>52594</v>
      </c>
      <c r="I3" s="27" t="n">
        <v>7.4</v>
      </c>
      <c r="J3" s="27" t="n">
        <v>7.7</v>
      </c>
      <c r="K3" s="7" t="n">
        <v>115</v>
      </c>
      <c r="L3" s="7" t="n">
        <v>198438</v>
      </c>
      <c r="M3" s="27" t="n">
        <v>13.6</v>
      </c>
      <c r="N3" s="27" t="n">
        <v>14.4</v>
      </c>
      <c r="O3" s="7" t="n">
        <v>62</v>
      </c>
      <c r="P3" s="17" t="n">
        <f aca="false">L3/L$2</f>
        <v>0.135783723716614</v>
      </c>
      <c r="Q3" s="18" t="n">
        <f aca="false">IF(AND(ISNUMBER(D3),ISNUMBER(H3)),H3/D3,"")</f>
        <v>0.360618194783467</v>
      </c>
      <c r="R3" s="7" t="n">
        <f aca="false">'India Sites 2020'!J3</f>
        <v>188969</v>
      </c>
      <c r="S3" s="28" t="n">
        <f aca="false">L3/R3-1</f>
        <v>0.050108747995703</v>
      </c>
    </row>
    <row r="4" customFormat="false" ht="15" hidden="false" customHeight="false" outlineLevel="0" collapsed="false">
      <c r="A4" s="5" t="s">
        <v>504</v>
      </c>
      <c r="B4" s="5" t="s">
        <v>505</v>
      </c>
      <c r="C4" s="5" t="s">
        <v>503</v>
      </c>
      <c r="D4" s="7" t="n">
        <v>41845</v>
      </c>
      <c r="E4" s="27" t="n">
        <v>5.6</v>
      </c>
      <c r="F4" s="27" t="n">
        <v>6</v>
      </c>
      <c r="G4" s="7" t="n">
        <v>147</v>
      </c>
      <c r="H4" s="7" t="n">
        <v>14611</v>
      </c>
      <c r="I4" s="27" t="n">
        <v>2.1</v>
      </c>
      <c r="J4" s="27" t="n">
        <v>2.1</v>
      </c>
      <c r="K4" s="7" t="n">
        <v>400</v>
      </c>
      <c r="L4" s="7" t="n">
        <v>56456</v>
      </c>
      <c r="M4" s="27" t="n">
        <v>3.9</v>
      </c>
      <c r="N4" s="27" t="n">
        <v>4.1</v>
      </c>
      <c r="O4" s="7" t="n">
        <v>215</v>
      </c>
      <c r="P4" s="17" t="n">
        <f aca="false">L4/L$2</f>
        <v>0.038630735575571</v>
      </c>
      <c r="Q4" s="18" t="n">
        <f aca="false">IF(AND(ISNUMBER(D4),ISNUMBER(H4)),H4/D4,"")</f>
        <v>0.349169554307564</v>
      </c>
      <c r="R4" s="7" t="n">
        <f aca="false">'India Sites 2020'!J4</f>
        <v>53772</v>
      </c>
      <c r="S4" s="28" t="n">
        <f aca="false">L4/R4-1</f>
        <v>0.0499144536189839</v>
      </c>
    </row>
    <row r="5" customFormat="false" ht="15" hidden="false" customHeight="false" outlineLevel="0" collapsed="false">
      <c r="A5" s="5" t="s">
        <v>506</v>
      </c>
      <c r="B5" s="5" t="s">
        <v>505</v>
      </c>
      <c r="C5" s="5" t="s">
        <v>503</v>
      </c>
      <c r="D5" s="7" t="n">
        <v>60164</v>
      </c>
      <c r="E5" s="27" t="n">
        <v>8.1</v>
      </c>
      <c r="F5" s="27" t="n">
        <v>8.6</v>
      </c>
      <c r="G5" s="7" t="n">
        <v>103</v>
      </c>
      <c r="H5" s="7" t="n">
        <v>23675</v>
      </c>
      <c r="I5" s="27" t="n">
        <v>3.3</v>
      </c>
      <c r="J5" s="27" t="n">
        <v>3.5</v>
      </c>
      <c r="K5" s="7" t="n">
        <v>241</v>
      </c>
      <c r="L5" s="7" t="n">
        <v>83839</v>
      </c>
      <c r="M5" s="27" t="n">
        <v>5.8</v>
      </c>
      <c r="N5" s="27" t="n">
        <v>6.1</v>
      </c>
      <c r="O5" s="7" t="n">
        <v>144</v>
      </c>
      <c r="P5" s="17" t="n">
        <f aca="false">L5/L$2</f>
        <v>0.05736790137311</v>
      </c>
      <c r="Q5" s="18" t="n">
        <f aca="false">IF(AND(ISNUMBER(D5),ISNUMBER(H5)),H5/D5,"")</f>
        <v>0.393507745495645</v>
      </c>
      <c r="R5" s="7" t="n">
        <f aca="false">'India Sites 2020'!J5</f>
        <v>79863</v>
      </c>
      <c r="S5" s="28" t="n">
        <f aca="false">L5/R5-1</f>
        <v>0.0497852572530459</v>
      </c>
    </row>
    <row r="6" customFormat="false" ht="15" hidden="false" customHeight="false" outlineLevel="0" collapsed="false">
      <c r="A6" s="5" t="s">
        <v>507</v>
      </c>
      <c r="B6" s="5" t="s">
        <v>505</v>
      </c>
      <c r="C6" s="5" t="s">
        <v>503</v>
      </c>
      <c r="D6" s="7" t="n">
        <v>3177</v>
      </c>
      <c r="E6" s="27" t="n">
        <v>0.4</v>
      </c>
      <c r="F6" s="27" t="n">
        <v>0.5</v>
      </c>
      <c r="G6" s="7" t="n">
        <v>1793</v>
      </c>
      <c r="H6" s="7" t="n">
        <v>1168</v>
      </c>
      <c r="I6" s="27" t="n">
        <v>0.2</v>
      </c>
      <c r="J6" s="27" t="n">
        <v>0.2</v>
      </c>
      <c r="K6" s="7" t="n">
        <v>5482</v>
      </c>
      <c r="L6" s="7" t="n">
        <v>4345</v>
      </c>
      <c r="M6" s="27" t="n">
        <v>0.3</v>
      </c>
      <c r="N6" s="27" t="n">
        <v>0.3</v>
      </c>
      <c r="O6" s="7" t="n">
        <v>2704</v>
      </c>
      <c r="P6" s="17" t="n">
        <f aca="false">L6/L$2</f>
        <v>0.00297312147647471</v>
      </c>
      <c r="Q6" s="18" t="n">
        <f aca="false">IF(AND(ISNUMBER(D6),ISNUMBER(H6)),H6/D6,"")</f>
        <v>0.367642429965376</v>
      </c>
      <c r="R6" s="7" t="n">
        <f aca="false">'India Sites 2020'!J6</f>
        <v>4131</v>
      </c>
      <c r="S6" s="28" t="n">
        <f aca="false">L6/R6-1</f>
        <v>0.0518034374243526</v>
      </c>
    </row>
    <row r="7" customFormat="false" ht="15" hidden="false" customHeight="false" outlineLevel="0" collapsed="false">
      <c r="A7" s="5" t="s">
        <v>508</v>
      </c>
      <c r="B7" s="5" t="s">
        <v>505</v>
      </c>
      <c r="C7" s="5" t="s">
        <v>503</v>
      </c>
      <c r="D7" s="7" t="n">
        <v>40658</v>
      </c>
      <c r="E7" s="27" t="n">
        <v>5.5</v>
      </c>
      <c r="F7" s="27" t="n">
        <v>6.1</v>
      </c>
      <c r="G7" s="7" t="n">
        <v>137</v>
      </c>
      <c r="H7" s="7" t="n">
        <v>13140</v>
      </c>
      <c r="I7" s="27" t="n">
        <v>1.8</v>
      </c>
      <c r="J7" s="27" t="n">
        <v>1.9</v>
      </c>
      <c r="K7" s="7" t="n">
        <v>475</v>
      </c>
      <c r="L7" s="7" t="n">
        <v>53798</v>
      </c>
      <c r="M7" s="27" t="n">
        <v>3.7</v>
      </c>
      <c r="N7" s="27" t="n">
        <v>4</v>
      </c>
      <c r="O7" s="7" t="n">
        <v>213</v>
      </c>
      <c r="P7" s="17" t="n">
        <f aca="false">L7/L$2</f>
        <v>0.0368119652914583</v>
      </c>
      <c r="Q7" s="18" t="n">
        <f aca="false">IF(AND(ISNUMBER(D7),ISNUMBER(H7)),H7/D7,"")</f>
        <v>0.323183629298047</v>
      </c>
      <c r="R7" s="7" t="n">
        <f aca="false">'India Sites 2020'!J7</f>
        <v>51203</v>
      </c>
      <c r="S7" s="28" t="n">
        <f aca="false">L7/R7-1</f>
        <v>0.0506806241821769</v>
      </c>
    </row>
    <row r="8" customFormat="false" ht="15" hidden="false" customHeight="false" outlineLevel="0" collapsed="false">
      <c r="A8" s="9" t="s">
        <v>509</v>
      </c>
      <c r="B8" s="5" t="s">
        <v>6</v>
      </c>
      <c r="C8" s="5"/>
      <c r="D8" s="7" t="n">
        <v>172025</v>
      </c>
      <c r="E8" s="27" t="n">
        <v>23.1</v>
      </c>
      <c r="F8" s="27" t="n">
        <v>25.9</v>
      </c>
      <c r="G8" s="7" t="n">
        <v>32</v>
      </c>
      <c r="H8" s="7" t="n">
        <v>116029</v>
      </c>
      <c r="I8" s="27" t="n">
        <v>16.3</v>
      </c>
      <c r="J8" s="27" t="n">
        <v>17</v>
      </c>
      <c r="K8" s="7" t="n">
        <v>50</v>
      </c>
      <c r="L8" s="7" t="n">
        <v>288054</v>
      </c>
      <c r="M8" s="27" t="n">
        <v>19.8</v>
      </c>
      <c r="N8" s="27" t="n">
        <v>21.4</v>
      </c>
      <c r="O8" s="7" t="n">
        <v>39</v>
      </c>
      <c r="P8" s="17" t="n">
        <f aca="false">L8/L$2</f>
        <v>0.197104610767421</v>
      </c>
      <c r="Q8" s="18" t="n">
        <f aca="false">IF(AND(ISNUMBER(D8),ISNUMBER(H8)),H8/D8,"")</f>
        <v>0.674489173085307</v>
      </c>
      <c r="R8" s="7" t="n">
        <f aca="false">'India Sites 2020'!J8</f>
        <v>273982</v>
      </c>
      <c r="S8" s="28" t="n">
        <f aca="false">L8/R8-1</f>
        <v>0.0513610383163858</v>
      </c>
    </row>
    <row r="9" customFormat="false" ht="15" hidden="false" customHeight="false" outlineLevel="0" collapsed="false">
      <c r="A9" s="5" t="s">
        <v>510</v>
      </c>
      <c r="B9" s="5" t="s">
        <v>505</v>
      </c>
      <c r="C9" s="5" t="s">
        <v>509</v>
      </c>
      <c r="D9" s="7" t="n">
        <v>34272</v>
      </c>
      <c r="E9" s="27" t="n">
        <v>4.6</v>
      </c>
      <c r="F9" s="27" t="n">
        <v>5.2</v>
      </c>
      <c r="G9" s="7" t="n">
        <v>159</v>
      </c>
      <c r="H9" s="7" t="n">
        <v>21300</v>
      </c>
      <c r="I9" s="27" t="n">
        <v>3</v>
      </c>
      <c r="J9" s="27" t="n">
        <v>3.1</v>
      </c>
      <c r="K9" s="7" t="n">
        <v>263</v>
      </c>
      <c r="L9" s="7" t="n">
        <v>55572</v>
      </c>
      <c r="M9" s="27" t="n">
        <v>3.8</v>
      </c>
      <c r="N9" s="27" t="n">
        <v>4.2</v>
      </c>
      <c r="O9" s="7" t="n">
        <v>198</v>
      </c>
      <c r="P9" s="17" t="n">
        <f aca="false">L9/L$2</f>
        <v>0.0380258473396208</v>
      </c>
      <c r="Q9" s="18" t="n">
        <f aca="false">IF(AND(ISNUMBER(D9),ISNUMBER(H9)),H9/D9,"")</f>
        <v>0.621498599439776</v>
      </c>
      <c r="R9" s="7" t="n">
        <f aca="false">'India Sites 2020'!J9</f>
        <v>52828</v>
      </c>
      <c r="S9" s="28" t="n">
        <f aca="false">L9/R9-1</f>
        <v>0.0519421518891496</v>
      </c>
    </row>
    <row r="10" customFormat="false" ht="15" hidden="false" customHeight="false" outlineLevel="0" collapsed="false">
      <c r="A10" s="5" t="s">
        <v>511</v>
      </c>
      <c r="B10" s="5" t="s">
        <v>505</v>
      </c>
      <c r="C10" s="5" t="s">
        <v>509</v>
      </c>
      <c r="D10" s="7" t="n">
        <v>34353</v>
      </c>
      <c r="E10" s="27" t="n">
        <v>4.6</v>
      </c>
      <c r="F10" s="27" t="n">
        <v>5.2</v>
      </c>
      <c r="G10" s="7" t="n">
        <v>160</v>
      </c>
      <c r="H10" s="7" t="n">
        <v>18353</v>
      </c>
      <c r="I10" s="27" t="n">
        <v>2.6</v>
      </c>
      <c r="J10" s="27" t="n">
        <v>2.7</v>
      </c>
      <c r="K10" s="7" t="n">
        <v>319</v>
      </c>
      <c r="L10" s="7" t="n">
        <v>52706</v>
      </c>
      <c r="M10" s="27" t="n">
        <v>3.6</v>
      </c>
      <c r="N10" s="27" t="n">
        <v>3.9</v>
      </c>
      <c r="O10" s="7" t="n">
        <v>213</v>
      </c>
      <c r="P10" s="17" t="n">
        <f aca="false">L10/L$2</f>
        <v>0.0360647504117551</v>
      </c>
      <c r="Q10" s="18" t="n">
        <f aca="false">IF(AND(ISNUMBER(D10),ISNUMBER(H10)),H10/D10,"")</f>
        <v>0.534247372864088</v>
      </c>
      <c r="R10" s="7" t="n">
        <f aca="false">'India Sites 2020'!J10</f>
        <v>50143</v>
      </c>
      <c r="S10" s="28" t="n">
        <f aca="false">L10/R10-1</f>
        <v>0.051113814490557</v>
      </c>
    </row>
    <row r="11" customFormat="false" ht="15" hidden="false" customHeight="false" outlineLevel="0" collapsed="false">
      <c r="A11" s="5" t="s">
        <v>512</v>
      </c>
      <c r="B11" s="5" t="s">
        <v>505</v>
      </c>
      <c r="C11" s="5" t="s">
        <v>509</v>
      </c>
      <c r="D11" s="7" t="n">
        <v>2255</v>
      </c>
      <c r="E11" s="27" t="n">
        <v>0.3</v>
      </c>
      <c r="F11" s="27" t="n">
        <v>0.3</v>
      </c>
      <c r="G11" s="7" t="n">
        <v>2498</v>
      </c>
      <c r="H11" s="7" t="n">
        <v>1533</v>
      </c>
      <c r="I11" s="27" t="n">
        <v>0.2</v>
      </c>
      <c r="J11" s="27" t="n">
        <v>0.2</v>
      </c>
      <c r="K11" s="7" t="n">
        <v>3877</v>
      </c>
      <c r="L11" s="7" t="n">
        <v>3788</v>
      </c>
      <c r="M11" s="27" t="n">
        <v>0.3</v>
      </c>
      <c r="N11" s="27" t="n">
        <v>0.3</v>
      </c>
      <c r="O11" s="7" t="n">
        <v>3041</v>
      </c>
      <c r="P11" s="17" t="n">
        <f aca="false">L11/L$2</f>
        <v>0.00259198714680925</v>
      </c>
      <c r="Q11" s="18" t="n">
        <f aca="false">IF(AND(ISNUMBER(D11),ISNUMBER(H11)),H11/D11,"")</f>
        <v>0.679822616407982</v>
      </c>
      <c r="R11" s="7" t="n">
        <f aca="false">'India Sites 2020'!J11</f>
        <v>3606</v>
      </c>
      <c r="S11" s="28" t="n">
        <f aca="false">L11/R11-1</f>
        <v>0.050471436494731</v>
      </c>
    </row>
    <row r="12" customFormat="false" ht="15" hidden="false" customHeight="false" outlineLevel="0" collapsed="false">
      <c r="A12" s="5" t="s">
        <v>513</v>
      </c>
      <c r="B12" s="5" t="s">
        <v>505</v>
      </c>
      <c r="C12" s="5" t="s">
        <v>509</v>
      </c>
      <c r="D12" s="7" t="n">
        <v>21595</v>
      </c>
      <c r="E12" s="27" t="n">
        <v>2.9</v>
      </c>
      <c r="F12" s="27" t="n">
        <v>3.2</v>
      </c>
      <c r="G12" s="7" t="n">
        <v>260</v>
      </c>
      <c r="H12" s="7" t="n">
        <v>16512</v>
      </c>
      <c r="I12" s="27" t="n">
        <v>2.3</v>
      </c>
      <c r="J12" s="27" t="n">
        <v>2.4</v>
      </c>
      <c r="K12" s="7" t="n">
        <v>348</v>
      </c>
      <c r="L12" s="7" t="n">
        <v>38107</v>
      </c>
      <c r="M12" s="27" t="n">
        <v>2.6</v>
      </c>
      <c r="N12" s="27" t="n">
        <v>2.8</v>
      </c>
      <c r="O12" s="7" t="n">
        <v>298</v>
      </c>
      <c r="P12" s="17" t="n">
        <f aca="false">L12/L$2</f>
        <v>0.0260751991033421</v>
      </c>
      <c r="Q12" s="18" t="n">
        <f aca="false">IF(AND(ISNUMBER(D12),ISNUMBER(H12)),H12/D12,"")</f>
        <v>0.764621440148183</v>
      </c>
      <c r="R12" s="7" t="n">
        <f aca="false">'India Sites 2020'!J12</f>
        <v>36257</v>
      </c>
      <c r="S12" s="28" t="n">
        <f aca="false">L12/R12-1</f>
        <v>0.0510246297266734</v>
      </c>
    </row>
    <row r="13" customFormat="false" ht="15" hidden="false" customHeight="false" outlineLevel="0" collapsed="false">
      <c r="A13" s="5" t="s">
        <v>514</v>
      </c>
      <c r="B13" s="5" t="s">
        <v>505</v>
      </c>
      <c r="C13" s="5" t="s">
        <v>509</v>
      </c>
      <c r="D13" s="7" t="n">
        <v>22985</v>
      </c>
      <c r="E13" s="27" t="n">
        <v>3.1</v>
      </c>
      <c r="F13" s="27" t="n">
        <v>3.4</v>
      </c>
      <c r="G13" s="7" t="n">
        <v>244</v>
      </c>
      <c r="H13" s="7" t="n">
        <v>15767</v>
      </c>
      <c r="I13" s="27" t="n">
        <v>2.2</v>
      </c>
      <c r="J13" s="27" t="n">
        <v>2.3</v>
      </c>
      <c r="K13" s="7" t="n">
        <v>372</v>
      </c>
      <c r="L13" s="7" t="n">
        <v>38752</v>
      </c>
      <c r="M13" s="27" t="n">
        <v>2.7</v>
      </c>
      <c r="N13" s="27" t="n">
        <v>2.8</v>
      </c>
      <c r="O13" s="7" t="n">
        <v>295</v>
      </c>
      <c r="P13" s="17" t="n">
        <f aca="false">L13/L$2</f>
        <v>0.0265165485515185</v>
      </c>
      <c r="Q13" s="18" t="n">
        <f aca="false">IF(AND(ISNUMBER(D13),ISNUMBER(H13)),H13/D13,"")</f>
        <v>0.685969110289319</v>
      </c>
      <c r="R13" s="7" t="n">
        <f aca="false">'India Sites 2020'!J13</f>
        <v>36900</v>
      </c>
      <c r="S13" s="28" t="n">
        <f aca="false">L13/R13-1</f>
        <v>0.050189701897019</v>
      </c>
    </row>
    <row r="14" customFormat="false" ht="15" hidden="false" customHeight="false" outlineLevel="0" collapsed="false">
      <c r="A14" s="5" t="s">
        <v>515</v>
      </c>
      <c r="B14" s="5" t="s">
        <v>505</v>
      </c>
      <c r="C14" s="5" t="s">
        <v>509</v>
      </c>
      <c r="D14" s="7" t="n">
        <v>3037</v>
      </c>
      <c r="E14" s="27" t="n">
        <v>0.4</v>
      </c>
      <c r="F14" s="27" t="n">
        <v>0.4</v>
      </c>
      <c r="G14" s="7" t="n">
        <v>1865</v>
      </c>
      <c r="H14" s="7" t="n">
        <v>2131</v>
      </c>
      <c r="I14" s="27" t="n">
        <v>0.3</v>
      </c>
      <c r="J14" s="27" t="n">
        <v>0.3</v>
      </c>
      <c r="K14" s="7" t="n">
        <v>2682</v>
      </c>
      <c r="L14" s="7" t="n">
        <v>5168</v>
      </c>
      <c r="M14" s="27" t="n">
        <v>0.4</v>
      </c>
      <c r="N14" s="27" t="n">
        <v>0.4</v>
      </c>
      <c r="O14" s="7" t="n">
        <v>2200</v>
      </c>
      <c r="P14" s="17" t="n">
        <f aca="false">L14/L$2</f>
        <v>0.00353626968709351</v>
      </c>
      <c r="Q14" s="18" t="n">
        <f aca="false">IF(AND(ISNUMBER(D14),ISNUMBER(H14)),H14/D14,"")</f>
        <v>0.701679288771814</v>
      </c>
      <c r="R14" s="7" t="n">
        <f aca="false">'India Sites 2020'!J14</f>
        <v>4925</v>
      </c>
      <c r="S14" s="28" t="n">
        <f aca="false">L14/R14-1</f>
        <v>0.0493401015228427</v>
      </c>
    </row>
    <row r="15" customFormat="false" ht="15" hidden="false" customHeight="false" outlineLevel="0" collapsed="false">
      <c r="A15" s="5" t="s">
        <v>516</v>
      </c>
      <c r="B15" s="5" t="s">
        <v>505</v>
      </c>
      <c r="C15" s="5" t="s">
        <v>509</v>
      </c>
      <c r="D15" s="7" t="n">
        <v>28020</v>
      </c>
      <c r="E15" s="27" t="n">
        <v>3.8</v>
      </c>
      <c r="F15" s="27" t="n">
        <v>4.3</v>
      </c>
      <c r="G15" s="7" t="n">
        <v>189</v>
      </c>
      <c r="H15" s="7" t="n">
        <v>11306</v>
      </c>
      <c r="I15" s="27" t="n">
        <v>1.6</v>
      </c>
      <c r="J15" s="27" t="n">
        <v>1.7</v>
      </c>
      <c r="K15" s="7" t="n">
        <v>514</v>
      </c>
      <c r="L15" s="7" t="n">
        <v>39326</v>
      </c>
      <c r="M15" s="27" t="n">
        <v>2.7</v>
      </c>
      <c r="N15" s="27" t="n">
        <v>3</v>
      </c>
      <c r="O15" s="7" t="n">
        <v>276</v>
      </c>
      <c r="P15" s="17" t="n">
        <f aca="false">L15/L$2</f>
        <v>0.0269093153472599</v>
      </c>
      <c r="Q15" s="18" t="n">
        <f aca="false">IF(AND(ISNUMBER(D15),ISNUMBER(H15)),H15/D15,"")</f>
        <v>0.40349750178444</v>
      </c>
      <c r="R15" s="7" t="n">
        <f aca="false">'India Sites 2020'!J15</f>
        <v>37410</v>
      </c>
      <c r="S15" s="28" t="n">
        <f aca="false">L15/R15-1</f>
        <v>0.0512162523389468</v>
      </c>
    </row>
    <row r="16" customFormat="false" ht="15" hidden="false" customHeight="false" outlineLevel="0" collapsed="false">
      <c r="A16" s="5" t="s">
        <v>517</v>
      </c>
      <c r="B16" s="5" t="s">
        <v>505</v>
      </c>
      <c r="C16" s="5" t="s">
        <v>509</v>
      </c>
      <c r="D16" s="7" t="n">
        <v>12997</v>
      </c>
      <c r="E16" s="27" t="n">
        <v>1.7</v>
      </c>
      <c r="F16" s="27" t="n">
        <v>1.9</v>
      </c>
      <c r="G16" s="7" t="n">
        <v>423</v>
      </c>
      <c r="H16" s="7" t="n">
        <v>20570</v>
      </c>
      <c r="I16" s="27" t="n">
        <v>2.9</v>
      </c>
      <c r="J16" s="27" t="n">
        <v>3</v>
      </c>
      <c r="K16" s="7" t="n">
        <v>283</v>
      </c>
      <c r="L16" s="7" t="n">
        <v>33567</v>
      </c>
      <c r="M16" s="27" t="n">
        <v>2.3</v>
      </c>
      <c r="N16" s="27" t="n">
        <v>2.5</v>
      </c>
      <c r="O16" s="7" t="n">
        <v>339</v>
      </c>
      <c r="P16" s="17" t="n">
        <f aca="false">L16/L$2</f>
        <v>0.022968646398349</v>
      </c>
      <c r="Q16" s="18" t="n">
        <f aca="false">IF(AND(ISNUMBER(D16),ISNUMBER(H16)),H16/D16,"")</f>
        <v>1.58267292452104</v>
      </c>
      <c r="R16" s="7" t="n">
        <f aca="false">'India Sites 2020'!J16</f>
        <v>31895</v>
      </c>
      <c r="S16" s="28" t="n">
        <f aca="false">L16/R16-1</f>
        <v>0.0524220097193917</v>
      </c>
    </row>
    <row r="17" customFormat="false" ht="15" hidden="false" customHeight="false" outlineLevel="0" collapsed="false">
      <c r="A17" s="5" t="s">
        <v>518</v>
      </c>
      <c r="B17" s="5" t="s">
        <v>505</v>
      </c>
      <c r="C17" s="5" t="s">
        <v>509</v>
      </c>
      <c r="D17" s="7" t="n">
        <v>12511</v>
      </c>
      <c r="E17" s="27" t="n">
        <v>1.7</v>
      </c>
      <c r="F17" s="27" t="n">
        <v>1.9</v>
      </c>
      <c r="G17" s="7" t="n">
        <v>429</v>
      </c>
      <c r="H17" s="7" t="n">
        <v>8557</v>
      </c>
      <c r="I17" s="27" t="n">
        <v>1.2</v>
      </c>
      <c r="J17" s="27" t="n">
        <v>1.3</v>
      </c>
      <c r="K17" s="7" t="n">
        <v>656</v>
      </c>
      <c r="L17" s="7" t="n">
        <v>21068</v>
      </c>
      <c r="M17" s="27" t="n">
        <v>1.4</v>
      </c>
      <c r="N17" s="27" t="n">
        <v>1.6</v>
      </c>
      <c r="O17" s="7" t="n">
        <v>519</v>
      </c>
      <c r="P17" s="17" t="n">
        <f aca="false">L17/L$2</f>
        <v>0.014416046781673</v>
      </c>
      <c r="Q17" s="18" t="n">
        <f aca="false">IF(AND(ISNUMBER(D17),ISNUMBER(H17)),H17/D17,"")</f>
        <v>0.683958116857166</v>
      </c>
      <c r="R17" s="7" t="n">
        <f aca="false">'India Sites 2020'!J17</f>
        <v>20018</v>
      </c>
      <c r="S17" s="28" t="n">
        <f aca="false">L17/R17-1</f>
        <v>0.0524527924867619</v>
      </c>
    </row>
    <row r="18" customFormat="false" ht="15" hidden="false" customHeight="false" outlineLevel="0" collapsed="false">
      <c r="A18" s="9" t="s">
        <v>519</v>
      </c>
      <c r="B18" s="5" t="s">
        <v>6</v>
      </c>
      <c r="C18" s="5"/>
      <c r="D18" s="7" t="n">
        <v>108848</v>
      </c>
      <c r="E18" s="27" t="n">
        <v>14.6</v>
      </c>
      <c r="F18" s="27" t="n">
        <v>16.2</v>
      </c>
      <c r="G18" s="7" t="n">
        <v>48</v>
      </c>
      <c r="H18" s="7" t="n">
        <v>34214</v>
      </c>
      <c r="I18" s="27" t="n">
        <v>4.8</v>
      </c>
      <c r="J18" s="27" t="n">
        <v>4.8</v>
      </c>
      <c r="K18" s="7" t="n">
        <v>165</v>
      </c>
      <c r="L18" s="7" t="n">
        <v>143062</v>
      </c>
      <c r="M18" s="27" t="n">
        <v>9.8</v>
      </c>
      <c r="N18" s="27" t="n">
        <v>10.4</v>
      </c>
      <c r="O18" s="7" t="n">
        <v>74</v>
      </c>
      <c r="P18" s="17" t="n">
        <f aca="false">L18/L$2</f>
        <v>0.097891991868222</v>
      </c>
      <c r="Q18" s="18" t="n">
        <f aca="false">IF(AND(ISNUMBER(D18),ISNUMBER(H18)),H18/D18,"")</f>
        <v>0.314328237542261</v>
      </c>
      <c r="R18" s="7" t="n">
        <f aca="false">'India Sites 2020'!J18</f>
        <v>136032</v>
      </c>
      <c r="S18" s="28" t="n">
        <f aca="false">L18/R18-1</f>
        <v>0.0516790167019525</v>
      </c>
    </row>
    <row r="19" customFormat="false" ht="15" hidden="false" customHeight="false" outlineLevel="0" collapsed="false">
      <c r="A19" s="5" t="s">
        <v>520</v>
      </c>
      <c r="B19" s="5" t="s">
        <v>505</v>
      </c>
      <c r="C19" s="5" t="s">
        <v>519</v>
      </c>
      <c r="D19" s="7" t="n">
        <v>28542</v>
      </c>
      <c r="E19" s="27" t="n">
        <v>3.8</v>
      </c>
      <c r="F19" s="27" t="n">
        <v>4.3</v>
      </c>
      <c r="G19" s="7" t="n">
        <v>184</v>
      </c>
      <c r="H19" s="7" t="n">
        <v>3498</v>
      </c>
      <c r="I19" s="27" t="n">
        <v>0.5</v>
      </c>
      <c r="J19" s="27" t="n">
        <v>0.5</v>
      </c>
      <c r="K19" s="7" t="n">
        <v>1629</v>
      </c>
      <c r="L19" s="7" t="n">
        <v>32040</v>
      </c>
      <c r="M19" s="27" t="n">
        <v>2.2</v>
      </c>
      <c r="N19" s="27" t="n">
        <v>2.4</v>
      </c>
      <c r="O19" s="7" t="n">
        <v>331</v>
      </c>
      <c r="P19" s="17" t="n">
        <f aca="false">L19/L$2</f>
        <v>0.0219237772396432</v>
      </c>
      <c r="Q19" s="18" t="n">
        <f aca="false">IF(AND(ISNUMBER(D19),ISNUMBER(H19)),H19/D19,"")</f>
        <v>0.122556232919908</v>
      </c>
      <c r="R19" s="7" t="n">
        <f aca="false">'India Sites 2020'!J19</f>
        <v>30462</v>
      </c>
      <c r="S19" s="28" t="n">
        <f aca="false">L19/R19-1</f>
        <v>0.051802245420524</v>
      </c>
    </row>
    <row r="20" customFormat="false" ht="15" hidden="false" customHeight="false" outlineLevel="0" collapsed="false">
      <c r="A20" s="5" t="s">
        <v>521</v>
      </c>
      <c r="B20" s="5" t="s">
        <v>505</v>
      </c>
      <c r="C20" s="5" t="s">
        <v>519</v>
      </c>
      <c r="D20" s="7" t="n">
        <v>75474</v>
      </c>
      <c r="E20" s="27" t="n">
        <v>10.1</v>
      </c>
      <c r="F20" s="27" t="n">
        <v>11.6</v>
      </c>
      <c r="G20" s="7" t="n">
        <v>67</v>
      </c>
      <c r="H20" s="7" t="n">
        <v>27897</v>
      </c>
      <c r="I20" s="27" t="n">
        <v>3.9</v>
      </c>
      <c r="J20" s="27" t="n">
        <v>4.1</v>
      </c>
      <c r="K20" s="7" t="n">
        <v>209</v>
      </c>
      <c r="L20" s="7" t="n">
        <v>103371</v>
      </c>
      <c r="M20" s="27" t="n">
        <v>7.1</v>
      </c>
      <c r="N20" s="27" t="n">
        <v>7.8</v>
      </c>
      <c r="O20" s="7" t="n">
        <v>101</v>
      </c>
      <c r="P20" s="17" t="n">
        <f aca="false">L20/L$2</f>
        <v>0.070732920631684</v>
      </c>
      <c r="Q20" s="18" t="n">
        <f aca="false">IF(AND(ISNUMBER(D20),ISNUMBER(H20)),H20/D20,"")</f>
        <v>0.369623976468718</v>
      </c>
      <c r="R20" s="7" t="n">
        <f aca="false">'India Sites 2020'!J20</f>
        <v>98278</v>
      </c>
      <c r="S20" s="28" t="n">
        <f aca="false">L20/R20-1</f>
        <v>0.0518223814078431</v>
      </c>
    </row>
    <row r="21" customFormat="false" ht="15" hidden="false" customHeight="false" outlineLevel="0" collapsed="false">
      <c r="A21" s="5" t="s">
        <v>522</v>
      </c>
      <c r="B21" s="5" t="s">
        <v>505</v>
      </c>
      <c r="C21" s="5" t="s">
        <v>519</v>
      </c>
      <c r="D21" s="7" t="n">
        <v>4832</v>
      </c>
      <c r="E21" s="27" t="n">
        <v>0.6</v>
      </c>
      <c r="F21" s="27" t="n">
        <v>0.3</v>
      </c>
      <c r="G21" s="7" t="n">
        <v>1274</v>
      </c>
      <c r="H21" s="7" t="n">
        <v>2819</v>
      </c>
      <c r="I21" s="27" t="n">
        <v>0.4</v>
      </c>
      <c r="J21" s="27" t="n">
        <v>0.2</v>
      </c>
      <c r="K21" s="7" t="n">
        <v>2149</v>
      </c>
      <c r="L21" s="7" t="n">
        <v>7651</v>
      </c>
      <c r="M21" s="27" t="n">
        <v>0.5</v>
      </c>
      <c r="N21" s="27" t="n">
        <v>0.2</v>
      </c>
      <c r="O21" s="7" t="n">
        <v>1602</v>
      </c>
      <c r="P21" s="17" t="n">
        <f aca="false">L21/L$2</f>
        <v>0.00523529399689482</v>
      </c>
      <c r="Q21" s="18" t="n">
        <f aca="false">IF(AND(ISNUMBER(D21),ISNUMBER(H21)),H21/D21,"")</f>
        <v>0.583402317880795</v>
      </c>
      <c r="R21" s="7" t="n">
        <f aca="false">'India Sites 2020'!J21</f>
        <v>7292</v>
      </c>
      <c r="S21" s="28" t="n">
        <f aca="false">L21/R21-1</f>
        <v>0.0492320351069666</v>
      </c>
    </row>
    <row r="22" customFormat="false" ht="15" hidden="false" customHeight="false" outlineLevel="0" collapsed="false">
      <c r="A22" s="9" t="s">
        <v>523</v>
      </c>
      <c r="B22" s="5" t="s">
        <v>6</v>
      </c>
      <c r="C22" s="5"/>
      <c r="D22" s="7" t="n">
        <v>8426</v>
      </c>
      <c r="E22" s="27" t="n">
        <v>1.1</v>
      </c>
      <c r="F22" s="27" t="n">
        <v>1.1</v>
      </c>
      <c r="G22" s="7" t="n">
        <v>1011</v>
      </c>
      <c r="H22" s="7" t="n">
        <v>6087</v>
      </c>
      <c r="I22" s="27" t="n">
        <v>0.9</v>
      </c>
      <c r="J22" s="27" t="n">
        <v>0.8</v>
      </c>
      <c r="K22" s="7" t="n">
        <v>1365</v>
      </c>
      <c r="L22" s="7" t="n">
        <v>14513</v>
      </c>
      <c r="M22" s="27" t="n">
        <v>1</v>
      </c>
      <c r="N22" s="27" t="n">
        <v>1</v>
      </c>
      <c r="O22" s="7" t="n">
        <v>1160</v>
      </c>
      <c r="P22" s="17" t="n">
        <f aca="false">L22/L$2</f>
        <v>0.00993070471532276</v>
      </c>
      <c r="Q22" s="18" t="n">
        <f aca="false">IF(AND(ISNUMBER(D22),ISNUMBER(H22)),H22/D22,"")</f>
        <v>0.72240683598386</v>
      </c>
      <c r="R22" s="7" t="n">
        <f aca="false">'India Sites 2020'!J22</f>
        <v>13955</v>
      </c>
      <c r="S22" s="28" t="n">
        <f aca="false">L22/R22-1</f>
        <v>0.0399856682192763</v>
      </c>
    </row>
    <row r="23" customFormat="false" ht="15" hidden="false" customHeight="false" outlineLevel="0" collapsed="false">
      <c r="A23" s="9" t="s">
        <v>524</v>
      </c>
      <c r="B23" s="5" t="s">
        <v>6</v>
      </c>
      <c r="C23" s="5"/>
      <c r="D23" s="7" t="n">
        <v>8380</v>
      </c>
      <c r="E23" s="27" t="n">
        <v>1.1</v>
      </c>
      <c r="F23" s="27" t="n">
        <v>1.2</v>
      </c>
      <c r="G23" s="7" t="n">
        <v>844</v>
      </c>
      <c r="H23" s="7" t="n">
        <v>6895</v>
      </c>
      <c r="I23" s="27" t="n">
        <v>1</v>
      </c>
      <c r="J23" s="27" t="n">
        <v>1</v>
      </c>
      <c r="K23" s="7" t="n">
        <v>1050</v>
      </c>
      <c r="L23" s="7" t="n">
        <v>15275</v>
      </c>
      <c r="M23" s="27" t="n">
        <v>1</v>
      </c>
      <c r="N23" s="27" t="n">
        <v>1.1</v>
      </c>
      <c r="O23" s="7" t="n">
        <v>936</v>
      </c>
      <c r="P23" s="17" t="n">
        <f aca="false">L23/L$2</f>
        <v>0.0104521129006102</v>
      </c>
      <c r="Q23" s="18" t="n">
        <f aca="false">IF(AND(ISNUMBER(D23),ISNUMBER(H23)),H23/D23,"")</f>
        <v>0.822792362768496</v>
      </c>
      <c r="R23" s="7" t="n">
        <f aca="false">'India Sites 2020'!J23</f>
        <v>14637</v>
      </c>
      <c r="S23" s="28" t="n">
        <f aca="false">L23/R23-1</f>
        <v>0.0435881669741067</v>
      </c>
    </row>
    <row r="24" customFormat="false" ht="15" hidden="false" customHeight="false" outlineLevel="0" collapsed="false">
      <c r="A24" s="9" t="s">
        <v>525</v>
      </c>
      <c r="B24" s="5" t="s">
        <v>6</v>
      </c>
      <c r="C24" s="5"/>
      <c r="D24" s="7" t="n">
        <v>11745</v>
      </c>
      <c r="E24" s="27" t="n">
        <v>1.6</v>
      </c>
      <c r="F24" s="27" t="n">
        <v>1.7</v>
      </c>
      <c r="G24" s="7" t="n">
        <v>510</v>
      </c>
      <c r="H24" s="7" t="n">
        <v>9412</v>
      </c>
      <c r="I24" s="27" t="n">
        <v>1.3</v>
      </c>
      <c r="J24" s="27" t="n">
        <v>1.4</v>
      </c>
      <c r="K24" s="7" t="n">
        <v>641</v>
      </c>
      <c r="L24" s="7" t="n">
        <v>21157</v>
      </c>
      <c r="M24" s="27" t="n">
        <v>1.5</v>
      </c>
      <c r="N24" s="27" t="n">
        <v>1.5</v>
      </c>
      <c r="O24" s="7" t="n">
        <v>569</v>
      </c>
      <c r="P24" s="17" t="n">
        <f aca="false">L24/L$2</f>
        <v>0.0144769461628942</v>
      </c>
      <c r="Q24" s="18" t="n">
        <f aca="false">IF(AND(ISNUMBER(D24),ISNUMBER(H24)),H24/D24,"")</f>
        <v>0.801362281822052</v>
      </c>
      <c r="R24" s="7" t="n">
        <f aca="false">'India Sites 2020'!J24</f>
        <v>20165</v>
      </c>
      <c r="S24" s="28" t="n">
        <f aca="false">L24/R24-1</f>
        <v>0.0491941482767171</v>
      </c>
    </row>
    <row r="25" customFormat="false" ht="28.35" hidden="false" customHeight="false" outlineLevel="0" collapsed="false">
      <c r="A25" s="5" t="s">
        <v>526</v>
      </c>
      <c r="B25" s="5" t="s">
        <v>505</v>
      </c>
      <c r="C25" s="5" t="s">
        <v>525</v>
      </c>
      <c r="D25" s="7" t="n">
        <v>3145</v>
      </c>
      <c r="E25" s="27" t="n">
        <v>0.4</v>
      </c>
      <c r="F25" s="27" t="n">
        <v>0.5</v>
      </c>
      <c r="G25" s="7" t="n">
        <v>1909</v>
      </c>
      <c r="H25" s="7" t="n">
        <v>2479</v>
      </c>
      <c r="I25" s="27" t="n">
        <v>0.3</v>
      </c>
      <c r="J25" s="27" t="n">
        <v>0.4</v>
      </c>
      <c r="K25" s="7" t="n">
        <v>2288</v>
      </c>
      <c r="L25" s="7" t="n">
        <v>5624</v>
      </c>
      <c r="M25" s="27" t="n">
        <v>0.4</v>
      </c>
      <c r="N25" s="27" t="n">
        <v>0.4</v>
      </c>
      <c r="O25" s="7" t="n">
        <v>2081</v>
      </c>
      <c r="P25" s="17" t="n">
        <f aca="false">L25/L$2</f>
        <v>0.00384829348301352</v>
      </c>
      <c r="Q25" s="18" t="n">
        <f aca="false">IF(AND(ISNUMBER(D25),ISNUMBER(H25)),H25/D25,"")</f>
        <v>0.788235294117647</v>
      </c>
      <c r="R25" s="7" t="n">
        <f aca="false">'India Sites 2020'!J25</f>
        <v>5367</v>
      </c>
      <c r="S25" s="28" t="n">
        <f aca="false">L25/R25-1</f>
        <v>0.0478852245202162</v>
      </c>
    </row>
    <row r="26" customFormat="false" ht="28.35" hidden="false" customHeight="false" outlineLevel="0" collapsed="false">
      <c r="A26" s="5" t="s">
        <v>527</v>
      </c>
      <c r="B26" s="5" t="s">
        <v>505</v>
      </c>
      <c r="C26" s="5" t="s">
        <v>525</v>
      </c>
      <c r="D26" s="7" t="n">
        <v>8600</v>
      </c>
      <c r="E26" s="27" t="n">
        <v>1.2</v>
      </c>
      <c r="F26" s="27" t="n">
        <v>1.3</v>
      </c>
      <c r="G26" s="7" t="n">
        <v>696</v>
      </c>
      <c r="H26" s="7" t="n">
        <v>6933</v>
      </c>
      <c r="I26" s="27" t="n">
        <v>1</v>
      </c>
      <c r="J26" s="27" t="n">
        <v>1</v>
      </c>
      <c r="K26" s="7" t="n">
        <v>891</v>
      </c>
      <c r="L26" s="7" t="n">
        <v>15533</v>
      </c>
      <c r="M26" s="27" t="n">
        <v>1.1</v>
      </c>
      <c r="N26" s="27" t="n">
        <v>1.1</v>
      </c>
      <c r="O26" s="7" t="n">
        <v>782</v>
      </c>
      <c r="P26" s="17" t="n">
        <f aca="false">L26/L$2</f>
        <v>0.0106286526798807</v>
      </c>
      <c r="Q26" s="18" t="n">
        <f aca="false">IF(AND(ISNUMBER(D26),ISNUMBER(H26)),H26/D26,"")</f>
        <v>0.806162790697674</v>
      </c>
      <c r="R26" s="7" t="n">
        <f aca="false">'India Sites 2020'!J26</f>
        <v>14798</v>
      </c>
      <c r="S26" s="28" t="n">
        <f aca="false">L26/R26-1</f>
        <v>0.0496688741721854</v>
      </c>
    </row>
    <row r="27" customFormat="false" ht="15" hidden="false" customHeight="false" outlineLevel="0" collapsed="false">
      <c r="A27" s="9" t="s">
        <v>528</v>
      </c>
      <c r="B27" s="5" t="s">
        <v>6</v>
      </c>
      <c r="C27" s="5"/>
      <c r="D27" s="7" t="n">
        <v>5649</v>
      </c>
      <c r="E27" s="27" t="n">
        <v>0.8</v>
      </c>
      <c r="F27" s="27" t="n">
        <v>0.8</v>
      </c>
      <c r="G27" s="7" t="n">
        <v>1021</v>
      </c>
      <c r="H27" s="7" t="n">
        <v>216108</v>
      </c>
      <c r="I27" s="27" t="n">
        <v>30.4</v>
      </c>
      <c r="J27" s="27" t="n">
        <v>31.2</v>
      </c>
      <c r="K27" s="7" t="n">
        <v>29</v>
      </c>
      <c r="L27" s="7" t="n">
        <v>221757</v>
      </c>
      <c r="M27" s="27" t="n">
        <v>15.2</v>
      </c>
      <c r="N27" s="27" t="n">
        <v>16</v>
      </c>
      <c r="O27" s="7" t="n">
        <v>56</v>
      </c>
      <c r="P27" s="17" t="n">
        <f aca="false">L27/L$2</f>
        <v>0.151740045859287</v>
      </c>
      <c r="Q27" s="18" t="n">
        <f aca="false">IF(AND(ISNUMBER(D27),ISNUMBER(H27)),H27/D27,"")</f>
        <v>38.2559745087626</v>
      </c>
      <c r="R27" s="7" t="n">
        <f aca="false">'India Sites 2020'!J27</f>
        <v>210801</v>
      </c>
      <c r="S27" s="28" t="n">
        <f aca="false">L27/R27-1</f>
        <v>0.0519731879829792</v>
      </c>
    </row>
    <row r="28" customFormat="false" ht="15" hidden="false" customHeight="false" outlineLevel="0" collapsed="false">
      <c r="A28" s="9" t="s">
        <v>529</v>
      </c>
      <c r="B28" s="5" t="s">
        <v>6</v>
      </c>
      <c r="C28" s="5"/>
      <c r="D28" s="7" t="n">
        <v>54625</v>
      </c>
      <c r="E28" s="27" t="n">
        <v>7.3</v>
      </c>
      <c r="F28" s="27" t="n">
        <v>8.4</v>
      </c>
      <c r="G28" s="7" t="n">
        <v>105</v>
      </c>
      <c r="H28" s="7" t="n">
        <v>163694</v>
      </c>
      <c r="I28" s="27" t="n">
        <v>23</v>
      </c>
      <c r="J28" s="27" t="n">
        <v>23.9</v>
      </c>
      <c r="K28" s="7" t="n">
        <v>37</v>
      </c>
      <c r="L28" s="7" t="n">
        <v>218319</v>
      </c>
      <c r="M28" s="27" t="n">
        <v>15</v>
      </c>
      <c r="N28" s="27" t="n">
        <v>16</v>
      </c>
      <c r="O28" s="7" t="n">
        <v>53</v>
      </c>
      <c r="P28" s="17" t="n">
        <f aca="false">L28/L$2</f>
        <v>0.1493875506611</v>
      </c>
      <c r="Q28" s="18" t="n">
        <f aca="false">IF(AND(ISNUMBER(D28),ISNUMBER(H28)),H28/D28,"")</f>
        <v>2.99668649885584</v>
      </c>
      <c r="R28" s="7" t="n">
        <f aca="false">'India Sites 2020'!J28</f>
        <v>207624</v>
      </c>
      <c r="S28" s="28" t="n">
        <f aca="false">L28/R28-1</f>
        <v>0.0515113859669403</v>
      </c>
    </row>
    <row r="29" customFormat="false" ht="15" hidden="false" customHeight="false" outlineLevel="0" collapsed="false">
      <c r="A29" s="5" t="s">
        <v>530</v>
      </c>
      <c r="B29" s="5" t="s">
        <v>505</v>
      </c>
      <c r="C29" s="5" t="s">
        <v>529</v>
      </c>
      <c r="H29" s="7" t="n">
        <v>79103</v>
      </c>
      <c r="I29" s="27" t="n">
        <v>11.1</v>
      </c>
      <c r="J29" s="27" t="n">
        <v>11.6</v>
      </c>
      <c r="K29" s="7" t="n">
        <v>75</v>
      </c>
      <c r="L29" s="7" t="n">
        <v>79103</v>
      </c>
      <c r="M29" s="27" t="n">
        <v>11.1</v>
      </c>
      <c r="N29" s="27" t="n">
        <v>11.6</v>
      </c>
      <c r="O29" s="7" t="n">
        <v>75</v>
      </c>
      <c r="P29" s="17" t="n">
        <f aca="false">L29/L$2</f>
        <v>0.0541272331768881</v>
      </c>
      <c r="Q29" s="18" t="str">
        <f aca="false">IF(AND(ISNUMBER(D29),ISNUMBER(H29)),H29/D29,"")</f>
        <v/>
      </c>
      <c r="R29" s="7" t="n">
        <f aca="false">'India Sites 2020'!J29</f>
        <v>75209</v>
      </c>
      <c r="S29" s="28" t="n">
        <f aca="false">L29/R29-1</f>
        <v>0.0517757183315826</v>
      </c>
    </row>
    <row r="30" customFormat="false" ht="15" hidden="false" customHeight="false" outlineLevel="0" collapsed="false">
      <c r="A30" s="5" t="s">
        <v>531</v>
      </c>
      <c r="B30" s="5" t="s">
        <v>505</v>
      </c>
      <c r="C30" s="5" t="s">
        <v>529</v>
      </c>
      <c r="H30" s="7" t="n">
        <v>27922</v>
      </c>
      <c r="I30" s="27" t="n">
        <v>3.9</v>
      </c>
      <c r="J30" s="27" t="n">
        <v>4.2</v>
      </c>
      <c r="K30" s="7" t="n">
        <v>190</v>
      </c>
      <c r="L30" s="7" t="n">
        <v>27922</v>
      </c>
      <c r="M30" s="27" t="n">
        <v>3.9</v>
      </c>
      <c r="N30" s="27" t="n">
        <v>4.2</v>
      </c>
      <c r="O30" s="7" t="n">
        <v>190</v>
      </c>
      <c r="P30" s="17" t="n">
        <f aca="false">L30/L$2</f>
        <v>0.0191059833984181</v>
      </c>
      <c r="Q30" s="18" t="str">
        <f aca="false">IF(AND(ISNUMBER(D30),ISNUMBER(H30)),H30/D30,"")</f>
        <v/>
      </c>
      <c r="R30" s="7" t="n">
        <f aca="false">'India Sites 2020'!J30</f>
        <v>26514</v>
      </c>
      <c r="S30" s="28" t="n">
        <f aca="false">L30/R30-1</f>
        <v>0.0531040205174624</v>
      </c>
    </row>
    <row r="31" customFormat="false" ht="15" hidden="false" customHeight="false" outlineLevel="0" collapsed="false">
      <c r="A31" s="5" t="s">
        <v>532</v>
      </c>
      <c r="B31" s="5" t="s">
        <v>505</v>
      </c>
      <c r="C31" s="5" t="s">
        <v>529</v>
      </c>
      <c r="H31" s="7" t="n">
        <v>46126</v>
      </c>
      <c r="I31" s="27" t="n">
        <v>6.5</v>
      </c>
      <c r="J31" s="27" t="n">
        <v>6.7</v>
      </c>
      <c r="K31" s="7" t="n">
        <v>133</v>
      </c>
      <c r="L31" s="7" t="n">
        <v>46126</v>
      </c>
      <c r="M31" s="27" t="n">
        <v>6.5</v>
      </c>
      <c r="N31" s="27" t="n">
        <v>6.7</v>
      </c>
      <c r="O31" s="7" t="n">
        <v>133</v>
      </c>
      <c r="P31" s="17" t="n">
        <f aca="false">L31/L$2</f>
        <v>0.0315623017776461</v>
      </c>
      <c r="Q31" s="18" t="str">
        <f aca="false">IF(AND(ISNUMBER(D31),ISNUMBER(H31)),H31/D31,"")</f>
        <v/>
      </c>
      <c r="R31" s="7" t="n">
        <f aca="false">'India Sites 2020'!J31</f>
        <v>43886</v>
      </c>
      <c r="S31" s="28" t="n">
        <f aca="false">L31/R31-1</f>
        <v>0.0510413343663128</v>
      </c>
    </row>
    <row r="32" customFormat="false" ht="15" hidden="false" customHeight="false" outlineLevel="0" collapsed="false">
      <c r="A32" s="5" t="s">
        <v>533</v>
      </c>
      <c r="B32" s="5" t="s">
        <v>505</v>
      </c>
      <c r="C32" s="5" t="s">
        <v>529</v>
      </c>
      <c r="H32" s="7" t="n">
        <v>2258</v>
      </c>
      <c r="I32" s="27" t="n">
        <v>0.3</v>
      </c>
      <c r="J32" s="27" t="n">
        <v>0.3</v>
      </c>
      <c r="K32" s="7" t="n">
        <v>2454</v>
      </c>
      <c r="L32" s="7" t="n">
        <v>2258</v>
      </c>
      <c r="M32" s="27" t="n">
        <v>0.3</v>
      </c>
      <c r="N32" s="27" t="n">
        <v>0.3</v>
      </c>
      <c r="O32" s="7" t="n">
        <v>2454</v>
      </c>
      <c r="P32" s="17" t="n">
        <f aca="false">L32/L$2</f>
        <v>0.00154506519997236</v>
      </c>
      <c r="Q32" s="18" t="str">
        <f aca="false">IF(AND(ISNUMBER(D32),ISNUMBER(H32)),H32/D32,"")</f>
        <v/>
      </c>
      <c r="R32" s="7" t="n">
        <f aca="false">'India Sites 2020'!J32</f>
        <v>2138</v>
      </c>
      <c r="S32" s="28" t="n">
        <f aca="false">L32/R32-1</f>
        <v>0.0561272217025257</v>
      </c>
    </row>
    <row r="33" customFormat="false" ht="15" hidden="false" customHeight="false" outlineLevel="0" collapsed="false">
      <c r="A33" s="5" t="s">
        <v>534</v>
      </c>
      <c r="B33" s="5" t="s">
        <v>505</v>
      </c>
      <c r="C33" s="5" t="s">
        <v>529</v>
      </c>
      <c r="H33" s="7" t="n">
        <v>7961</v>
      </c>
      <c r="I33" s="27" t="n">
        <v>1.1</v>
      </c>
      <c r="J33" s="27" t="n">
        <v>1.2</v>
      </c>
      <c r="K33" s="7" t="n">
        <v>747</v>
      </c>
      <c r="L33" s="7" t="n">
        <v>7961</v>
      </c>
      <c r="M33" s="27" t="n">
        <v>1.1</v>
      </c>
      <c r="N33" s="27" t="n">
        <v>1.2</v>
      </c>
      <c r="O33" s="7" t="n">
        <v>747</v>
      </c>
      <c r="P33" s="17" t="n">
        <f aca="false">L33/L$2</f>
        <v>0.0054474154371036</v>
      </c>
      <c r="Q33" s="18" t="str">
        <f aca="false">IF(AND(ISNUMBER(D33),ISNUMBER(H33)),H33/D33,"")</f>
        <v/>
      </c>
      <c r="R33" s="7" t="n">
        <f aca="false">'India Sites 2020'!J33</f>
        <v>7570</v>
      </c>
      <c r="S33" s="28" t="n">
        <f aca="false">L33/R33-1</f>
        <v>0.0516512549537649</v>
      </c>
    </row>
    <row r="34" customFormat="false" ht="15" hidden="false" customHeight="false" outlineLevel="0" collapsed="false">
      <c r="A34" s="5" t="s">
        <v>535</v>
      </c>
      <c r="B34" s="5" t="s">
        <v>505</v>
      </c>
      <c r="C34" s="5" t="s">
        <v>529</v>
      </c>
      <c r="H34" s="7" t="n">
        <v>324</v>
      </c>
      <c r="I34" s="27" t="n">
        <v>0</v>
      </c>
      <c r="J34" s="27" t="n">
        <v>0</v>
      </c>
      <c r="K34" s="7" t="n">
        <v>31252</v>
      </c>
      <c r="L34" s="7" t="n">
        <v>324</v>
      </c>
      <c r="M34" s="27" t="n">
        <v>0</v>
      </c>
      <c r="N34" s="27" t="n">
        <v>0</v>
      </c>
      <c r="O34" s="7" t="n">
        <v>31252</v>
      </c>
      <c r="P34" s="17" t="n">
        <f aca="false">L34/L$2</f>
        <v>0.000221701118153695</v>
      </c>
      <c r="Q34" s="18" t="str">
        <f aca="false">IF(AND(ISNUMBER(D34),ISNUMBER(H34)),H34/D34,"")</f>
        <v/>
      </c>
      <c r="R34" s="7" t="n">
        <f aca="false">'India Sites 2020'!J34</f>
        <v>313</v>
      </c>
      <c r="S34" s="28" t="n">
        <f aca="false">L34/R34-1</f>
        <v>0.035143769968051</v>
      </c>
    </row>
    <row r="35" customFormat="false" ht="15" hidden="false" customHeight="false" outlineLevel="0" collapsed="false">
      <c r="A35" s="5" t="s">
        <v>536</v>
      </c>
      <c r="B35" s="5" t="s">
        <v>505</v>
      </c>
      <c r="C35" s="5" t="s">
        <v>529</v>
      </c>
      <c r="D35" s="7" t="n">
        <v>43691</v>
      </c>
      <c r="E35" s="27" t="n">
        <v>5.9</v>
      </c>
      <c r="F35" s="27" t="n">
        <v>6.8</v>
      </c>
      <c r="G35" s="7" t="n">
        <v>125</v>
      </c>
      <c r="L35" s="7" t="n">
        <v>43691</v>
      </c>
      <c r="M35" s="27" t="n">
        <v>5.9</v>
      </c>
      <c r="N35" s="27" t="n">
        <v>6.8</v>
      </c>
      <c r="O35" s="7" t="n">
        <v>125</v>
      </c>
      <c r="P35" s="17" t="n">
        <f aca="false">L35/L$2</f>
        <v>0.0298961220779416</v>
      </c>
      <c r="Q35" s="18" t="str">
        <f aca="false">IF(AND(ISNUMBER(D35),ISNUMBER(H35)),H35/D35,"")</f>
        <v/>
      </c>
      <c r="R35" s="7" t="n">
        <f aca="false">'India Sites 2020'!J35</f>
        <v>41532</v>
      </c>
      <c r="S35" s="28" t="n">
        <f aca="false">L35/R35-1</f>
        <v>0.0519840123278437</v>
      </c>
    </row>
    <row r="36" customFormat="false" ht="15" hidden="false" customHeight="false" outlineLevel="0" collapsed="false">
      <c r="A36" s="5" t="s">
        <v>537</v>
      </c>
      <c r="B36" s="5" t="s">
        <v>505</v>
      </c>
      <c r="C36" s="5" t="s">
        <v>529</v>
      </c>
      <c r="D36" s="7" t="n">
        <v>4521</v>
      </c>
      <c r="E36" s="27" t="n">
        <v>0.6</v>
      </c>
      <c r="F36" s="27" t="n">
        <v>0.6</v>
      </c>
      <c r="G36" s="7" t="n">
        <v>2092</v>
      </c>
      <c r="L36" s="7" t="n">
        <v>4521</v>
      </c>
      <c r="M36" s="27" t="n">
        <v>0.6</v>
      </c>
      <c r="N36" s="27" t="n">
        <v>0.6</v>
      </c>
      <c r="O36" s="7" t="n">
        <v>2092</v>
      </c>
      <c r="P36" s="17" t="n">
        <f aca="false">L36/L$2</f>
        <v>0.00309355171349647</v>
      </c>
      <c r="Q36" s="18" t="str">
        <f aca="false">IF(AND(ISNUMBER(D36),ISNUMBER(H36)),H36/D36,"")</f>
        <v/>
      </c>
      <c r="R36" s="7" t="n">
        <f aca="false">'India Sites 2020'!J36</f>
        <v>4352</v>
      </c>
      <c r="S36" s="28" t="n">
        <f aca="false">L36/R36-1</f>
        <v>0.0388327205882353</v>
      </c>
    </row>
    <row r="37" customFormat="false" ht="15" hidden="false" customHeight="false" outlineLevel="0" collapsed="false">
      <c r="A37" s="5" t="s">
        <v>538</v>
      </c>
      <c r="B37" s="5" t="s">
        <v>505</v>
      </c>
      <c r="C37" s="5" t="s">
        <v>529</v>
      </c>
      <c r="D37" s="7" t="n">
        <v>6413</v>
      </c>
      <c r="E37" s="27" t="n">
        <v>0.8</v>
      </c>
      <c r="F37" s="27" t="n">
        <v>1</v>
      </c>
      <c r="G37" s="7" t="n">
        <v>917</v>
      </c>
      <c r="L37" s="7" t="n">
        <v>6413</v>
      </c>
      <c r="M37" s="27" t="n">
        <v>0.8</v>
      </c>
      <c r="N37" s="27" t="n">
        <v>1</v>
      </c>
      <c r="O37" s="7" t="n">
        <v>917</v>
      </c>
      <c r="P37" s="17" t="n">
        <f aca="false">L37/L$2</f>
        <v>0.00438817676148039</v>
      </c>
      <c r="Q37" s="18" t="str">
        <f aca="false">IF(AND(ISNUMBER(D37),ISNUMBER(H37)),H37/D37,"")</f>
        <v/>
      </c>
      <c r="R37" s="7" t="n">
        <f aca="false">'India Sites 2020'!J37</f>
        <v>6110</v>
      </c>
      <c r="S37" s="28" t="n">
        <f aca="false">L37/R37-1</f>
        <v>0.0495908346972176</v>
      </c>
    </row>
    <row r="38" customFormat="false" ht="15" hidden="false" customHeight="false" outlineLevel="0" collapsed="false">
      <c r="A38" s="9" t="s">
        <v>539</v>
      </c>
      <c r="B38" s="5" t="s">
        <v>6</v>
      </c>
      <c r="C38" s="5"/>
      <c r="D38" s="7" t="n">
        <v>34942</v>
      </c>
      <c r="E38" s="27" t="n">
        <v>4.7</v>
      </c>
      <c r="F38" s="27" t="n">
        <v>5.3</v>
      </c>
      <c r="G38" s="7" t="n">
        <v>158</v>
      </c>
      <c r="H38" s="7" t="n">
        <v>11861</v>
      </c>
      <c r="I38" s="27" t="n">
        <v>1.7</v>
      </c>
      <c r="J38" s="27" t="n">
        <v>1.8</v>
      </c>
      <c r="K38" s="7" t="n">
        <v>500</v>
      </c>
      <c r="L38" s="7" t="n">
        <v>46803</v>
      </c>
      <c r="M38" s="27" t="n">
        <v>3.2</v>
      </c>
      <c r="N38" s="27" t="n">
        <v>3.5</v>
      </c>
      <c r="O38" s="7" t="n">
        <v>240</v>
      </c>
      <c r="P38" s="17" t="n">
        <f aca="false">L38/L$2</f>
        <v>0.0320255476325537</v>
      </c>
      <c r="Q38" s="18" t="n">
        <f aca="false">IF(AND(ISNUMBER(D38),ISNUMBER(H38)),H38/D38,"")</f>
        <v>0.339448228492931</v>
      </c>
      <c r="R38" s="7" t="n">
        <f aca="false">'India Sites 2020'!J38</f>
        <v>44534</v>
      </c>
      <c r="S38" s="28" t="n">
        <f aca="false">L38/R38-1</f>
        <v>0.0509498360802982</v>
      </c>
    </row>
    <row r="39" customFormat="false" ht="15" hidden="false" customHeight="false" outlineLevel="0" collapsed="false">
      <c r="A39" s="5" t="s">
        <v>540</v>
      </c>
      <c r="B39" s="5" t="s">
        <v>505</v>
      </c>
      <c r="C39" s="5" t="s">
        <v>539</v>
      </c>
      <c r="D39" s="7" t="n">
        <v>21523</v>
      </c>
      <c r="E39" s="27" t="n">
        <v>2.9</v>
      </c>
      <c r="F39" s="27" t="n">
        <v>3.3</v>
      </c>
      <c r="G39" s="7" t="n">
        <v>250</v>
      </c>
      <c r="H39" s="7" t="n">
        <v>5713</v>
      </c>
      <c r="I39" s="27" t="n">
        <v>0.8</v>
      </c>
      <c r="J39" s="27" t="n">
        <v>0.8</v>
      </c>
      <c r="K39" s="7" t="n">
        <v>1011</v>
      </c>
      <c r="L39" s="7" t="n">
        <v>27236</v>
      </c>
      <c r="M39" s="27" t="n">
        <v>1.9</v>
      </c>
      <c r="N39" s="27" t="n">
        <v>2</v>
      </c>
      <c r="O39" s="7" t="n">
        <v>402</v>
      </c>
      <c r="P39" s="17" t="n">
        <f aca="false">L39/L$2</f>
        <v>0.0186365791791174</v>
      </c>
      <c r="Q39" s="18" t="n">
        <f aca="false">IF(AND(ISNUMBER(D39),ISNUMBER(H39)),H39/D39,"")</f>
        <v>0.26543697439948</v>
      </c>
      <c r="R39" s="7" t="n">
        <f aca="false">'India Sites 2020'!J39</f>
        <v>25873</v>
      </c>
      <c r="S39" s="28" t="n">
        <f aca="false">L39/R39-1</f>
        <v>0.0526804004174235</v>
      </c>
    </row>
    <row r="40" customFormat="false" ht="15" hidden="false" customHeight="false" outlineLevel="0" collapsed="false">
      <c r="A40" s="5" t="s">
        <v>541</v>
      </c>
      <c r="B40" s="5" t="s">
        <v>505</v>
      </c>
      <c r="C40" s="5" t="s">
        <v>539</v>
      </c>
      <c r="D40" s="7" t="n">
        <v>12963</v>
      </c>
      <c r="E40" s="27" t="n">
        <v>1.7</v>
      </c>
      <c r="F40" s="27" t="n">
        <v>2</v>
      </c>
      <c r="G40" s="7" t="n">
        <v>442</v>
      </c>
      <c r="H40" s="7" t="n">
        <v>5930</v>
      </c>
      <c r="I40" s="27" t="n">
        <v>0.8</v>
      </c>
      <c r="J40" s="27" t="n">
        <v>0.9</v>
      </c>
      <c r="K40" s="7" t="n">
        <v>1036</v>
      </c>
      <c r="L40" s="7" t="n">
        <v>18893</v>
      </c>
      <c r="M40" s="27" t="n">
        <v>1.3</v>
      </c>
      <c r="N40" s="27" t="n">
        <v>1.4</v>
      </c>
      <c r="O40" s="7" t="n">
        <v>619</v>
      </c>
      <c r="P40" s="17" t="n">
        <f aca="false">L40/L$2</f>
        <v>0.0129277753866598</v>
      </c>
      <c r="Q40" s="18" t="n">
        <f aca="false">IF(AND(ISNUMBER(D40),ISNUMBER(H40)),H40/D40,"")</f>
        <v>0.457455835840469</v>
      </c>
      <c r="R40" s="7" t="n">
        <f aca="false">'India Sites 2020'!J40</f>
        <v>18020</v>
      </c>
      <c r="S40" s="28" t="n">
        <f aca="false">L40/R40-1</f>
        <v>0.0484461709211987</v>
      </c>
    </row>
    <row r="41" customFormat="false" ht="15" hidden="false" customHeight="false" outlineLevel="0" collapsed="false">
      <c r="A41" s="5" t="s">
        <v>542</v>
      </c>
      <c r="B41" s="5" t="s">
        <v>505</v>
      </c>
      <c r="C41" s="5" t="s">
        <v>539</v>
      </c>
      <c r="D41" s="7" t="n">
        <v>456</v>
      </c>
      <c r="E41" s="27" t="n">
        <v>0.1</v>
      </c>
      <c r="F41" s="27" t="n">
        <v>0.1</v>
      </c>
      <c r="G41" s="7" t="n">
        <v>10755</v>
      </c>
      <c r="H41" s="7" t="n">
        <v>218</v>
      </c>
      <c r="I41" s="27" t="n">
        <v>0</v>
      </c>
      <c r="J41" s="27" t="n">
        <v>0</v>
      </c>
      <c r="K41" s="7" t="n">
        <v>21739</v>
      </c>
      <c r="L41" s="7" t="n">
        <v>674</v>
      </c>
      <c r="M41" s="27" t="n">
        <v>0</v>
      </c>
      <c r="N41" s="27" t="n">
        <v>0.1</v>
      </c>
      <c r="O41" s="7" t="n">
        <v>14422</v>
      </c>
      <c r="P41" s="17" t="n">
        <f aca="false">L41/L$2</f>
        <v>0.000461193066776514</v>
      </c>
      <c r="Q41" s="18" t="n">
        <f aca="false">IF(AND(ISNUMBER(D41),ISNUMBER(H41)),H41/D41,"")</f>
        <v>0.478070175438597</v>
      </c>
      <c r="R41" s="7" t="n">
        <f aca="false">'India Sites 2020'!J41</f>
        <v>641</v>
      </c>
      <c r="S41" s="28" t="n">
        <f aca="false">L41/R41-1</f>
        <v>0.0514820592823713</v>
      </c>
    </row>
    <row r="42" customFormat="false" ht="15" hidden="false" customHeight="false" outlineLevel="0" collapsed="false">
      <c r="A42" s="9" t="s">
        <v>543</v>
      </c>
      <c r="B42" s="5" t="s">
        <v>6</v>
      </c>
      <c r="C42" s="5"/>
      <c r="D42" s="7" t="n">
        <v>1326</v>
      </c>
      <c r="E42" s="27" t="n">
        <v>0.2</v>
      </c>
      <c r="F42" s="27" t="n">
        <v>0.2</v>
      </c>
      <c r="G42" s="7" t="n">
        <v>6887</v>
      </c>
      <c r="H42" s="7" t="n">
        <v>977</v>
      </c>
      <c r="I42" s="27" t="n">
        <v>0.1</v>
      </c>
      <c r="J42" s="27" t="n">
        <v>0.2</v>
      </c>
      <c r="K42" s="7" t="n">
        <v>9049</v>
      </c>
      <c r="L42" s="7" t="n">
        <v>2303</v>
      </c>
      <c r="M42" s="27" t="n">
        <v>0.2</v>
      </c>
      <c r="N42" s="27" t="n">
        <v>0.2</v>
      </c>
      <c r="O42" s="7" t="n">
        <v>7799</v>
      </c>
      <c r="P42" s="17" t="n">
        <f aca="false">L42/L$2</f>
        <v>0.00157585702193815</v>
      </c>
      <c r="Q42" s="18" t="n">
        <f aca="false">IF(AND(ISNUMBER(D42),ISNUMBER(H42)),H42/D42,"")</f>
        <v>0.736802413273002</v>
      </c>
      <c r="R42" s="7" t="n">
        <f aca="false">'India Sites 2020'!J42</f>
        <v>2257</v>
      </c>
      <c r="S42" s="28" t="n">
        <f aca="false">L42/R42-1</f>
        <v>0.0203810367744794</v>
      </c>
    </row>
    <row r="43" customFormat="false" ht="15" hidden="false" customHeight="false" outlineLevel="0" collapsed="false">
      <c r="A43" s="9" t="s">
        <v>544</v>
      </c>
      <c r="B43" s="5" t="s">
        <v>6</v>
      </c>
      <c r="C43" s="5"/>
      <c r="D43" s="7" t="n">
        <v>20811</v>
      </c>
      <c r="E43" s="27" t="n">
        <v>2.8</v>
      </c>
      <c r="F43" s="27" t="n">
        <v>2.9</v>
      </c>
      <c r="G43" s="7" t="n">
        <v>341</v>
      </c>
      <c r="H43" s="7" t="n">
        <v>13296</v>
      </c>
      <c r="I43" s="27" t="n">
        <v>1.9</v>
      </c>
      <c r="J43" s="27" t="n">
        <v>1.9</v>
      </c>
      <c r="K43" s="7" t="n">
        <v>546</v>
      </c>
      <c r="L43" s="7" t="n">
        <v>34107</v>
      </c>
      <c r="M43" s="27" t="n">
        <v>2.3</v>
      </c>
      <c r="N43" s="27" t="n">
        <v>2.4</v>
      </c>
      <c r="O43" s="7" t="n">
        <v>419</v>
      </c>
      <c r="P43" s="17" t="n">
        <f aca="false">L43/L$2</f>
        <v>0.0233381482619385</v>
      </c>
      <c r="Q43" s="18" t="n">
        <f aca="false">IF(AND(ISNUMBER(D43),ISNUMBER(H43)),H43/D43,"")</f>
        <v>0.638892893181491</v>
      </c>
      <c r="R43" s="7" t="n">
        <f aca="false">'India Sites 2020'!J43</f>
        <v>32729</v>
      </c>
      <c r="S43" s="28" t="n">
        <f aca="false">L43/R43-1</f>
        <v>0.0421033334351799</v>
      </c>
    </row>
    <row r="44" customFormat="false" ht="15" hidden="false" customHeight="false" outlineLevel="0" collapsed="false">
      <c r="A44" s="9" t="s">
        <v>545</v>
      </c>
      <c r="B44" s="5" t="s">
        <v>6</v>
      </c>
      <c r="C44" s="5"/>
      <c r="D44" s="7" t="n">
        <v>9682</v>
      </c>
      <c r="E44" s="27" t="n">
        <v>1.3</v>
      </c>
      <c r="F44" s="27" t="n">
        <v>1.4</v>
      </c>
      <c r="G44" s="7" t="n">
        <v>708</v>
      </c>
      <c r="H44" s="7" t="n">
        <v>27847</v>
      </c>
      <c r="I44" s="27" t="n">
        <v>3.9</v>
      </c>
      <c r="J44" s="27" t="n">
        <v>3.8</v>
      </c>
      <c r="K44" s="7" t="n">
        <v>280</v>
      </c>
      <c r="L44" s="7" t="n">
        <v>37529</v>
      </c>
      <c r="M44" s="27" t="n">
        <v>2.6</v>
      </c>
      <c r="N44" s="27" t="n">
        <v>2.5</v>
      </c>
      <c r="O44" s="7" t="n">
        <v>402</v>
      </c>
      <c r="P44" s="17" t="n">
        <f aca="false">L44/L$2</f>
        <v>0.0256796952567593</v>
      </c>
      <c r="Q44" s="18" t="n">
        <f aca="false">IF(AND(ISNUMBER(D44),ISNUMBER(H44)),H44/D44,"")</f>
        <v>2.87616195001033</v>
      </c>
      <c r="R44" s="7" t="n">
        <f aca="false">'India Sites 2020'!J44</f>
        <v>35928</v>
      </c>
      <c r="S44" s="28" t="n">
        <f aca="false">L44/R44-1</f>
        <v>0.0445613449120463</v>
      </c>
    </row>
    <row r="45" customFormat="false" ht="15" hidden="false" customHeight="false" outlineLevel="0" collapsed="false">
      <c r="A45" s="5" t="s">
        <v>546</v>
      </c>
      <c r="B45" s="5" t="s">
        <v>505</v>
      </c>
      <c r="C45" s="5" t="s">
        <v>545</v>
      </c>
      <c r="D45" s="7" t="n">
        <v>8967</v>
      </c>
      <c r="E45" s="27" t="n">
        <v>1.2</v>
      </c>
      <c r="F45" s="27" t="n">
        <v>1.2</v>
      </c>
      <c r="G45" s="7" t="n">
        <v>758</v>
      </c>
      <c r="H45" s="7" t="n">
        <v>27253</v>
      </c>
      <c r="I45" s="27" t="n">
        <v>3.8</v>
      </c>
      <c r="J45" s="27" t="n">
        <v>3.7</v>
      </c>
      <c r="K45" s="7" t="n">
        <v>285</v>
      </c>
      <c r="L45" s="7" t="n">
        <v>36220</v>
      </c>
      <c r="M45" s="27" t="n">
        <v>2.5</v>
      </c>
      <c r="N45" s="27" t="n">
        <v>2.4</v>
      </c>
      <c r="O45" s="7" t="n">
        <v>416</v>
      </c>
      <c r="P45" s="17" t="n">
        <f aca="false">L45/L$2</f>
        <v>0.02478399536891</v>
      </c>
      <c r="Q45" s="18" t="n">
        <f aca="false">IF(AND(ISNUMBER(D45),ISNUMBER(H45)),H45/D45,"")</f>
        <v>3.03925504628081</v>
      </c>
      <c r="R45" s="7" t="n">
        <f aca="false">'India Sites 2020'!J45</f>
        <v>34665</v>
      </c>
      <c r="S45" s="28" t="n">
        <f aca="false">L45/R45-1</f>
        <v>0.0448579258618203</v>
      </c>
    </row>
    <row r="46" customFormat="false" ht="15" hidden="false" customHeight="false" outlineLevel="0" collapsed="false">
      <c r="A46" s="5" t="s">
        <v>547</v>
      </c>
      <c r="B46" s="5" t="s">
        <v>505</v>
      </c>
      <c r="C46" s="5" t="s">
        <v>545</v>
      </c>
      <c r="D46" s="7" t="n">
        <v>715</v>
      </c>
      <c r="E46" s="27" t="n">
        <v>0.1</v>
      </c>
      <c r="F46" s="27" t="n">
        <v>0.1</v>
      </c>
      <c r="G46" s="7" t="n">
        <v>10776</v>
      </c>
      <c r="H46" s="7" t="n">
        <v>594</v>
      </c>
      <c r="I46" s="27" t="n">
        <v>0.1</v>
      </c>
      <c r="J46" s="27" t="n">
        <v>0.1</v>
      </c>
      <c r="K46" s="7" t="n">
        <v>13920</v>
      </c>
      <c r="L46" s="7" t="n">
        <v>1309</v>
      </c>
      <c r="M46" s="27" t="n">
        <v>0.1</v>
      </c>
      <c r="N46" s="27" t="n">
        <v>0.1</v>
      </c>
      <c r="O46" s="7" t="n">
        <v>12146</v>
      </c>
      <c r="P46" s="17" t="n">
        <f aca="false">L46/L$2</f>
        <v>0.000895699887849342</v>
      </c>
      <c r="Q46" s="18" t="n">
        <f aca="false">IF(AND(ISNUMBER(D46),ISNUMBER(H46)),H46/D46,"")</f>
        <v>0.830769230769231</v>
      </c>
      <c r="R46" s="7" t="n">
        <f aca="false">'India Sites 2020'!J46</f>
        <v>1263</v>
      </c>
      <c r="S46" s="28" t="n">
        <f aca="false">L46/R46-1</f>
        <v>0.0364212193190816</v>
      </c>
    </row>
    <row r="47" customFormat="false" ht="15" hidden="false" customHeight="false" outlineLevel="0" collapsed="false">
      <c r="A47" s="9" t="s">
        <v>548</v>
      </c>
      <c r="B47" s="5" t="s">
        <v>6</v>
      </c>
      <c r="C47" s="5"/>
      <c r="D47" s="7" t="n">
        <v>34116</v>
      </c>
      <c r="E47" s="27" t="n">
        <v>4.6</v>
      </c>
      <c r="F47" s="27" t="n">
        <v>4.9</v>
      </c>
      <c r="G47" s="7" t="n">
        <v>197</v>
      </c>
      <c r="H47" s="7" t="n">
        <v>21233</v>
      </c>
      <c r="I47" s="27" t="n">
        <v>3</v>
      </c>
      <c r="J47" s="27" t="n">
        <v>3.1</v>
      </c>
      <c r="K47" s="7" t="n">
        <v>296</v>
      </c>
      <c r="L47" s="7" t="n">
        <v>55349</v>
      </c>
      <c r="M47" s="27" t="n">
        <v>3.8</v>
      </c>
      <c r="N47" s="27" t="n">
        <v>4</v>
      </c>
      <c r="O47" s="7" t="n">
        <v>236</v>
      </c>
      <c r="P47" s="17" t="n">
        <f aca="false">L47/L$2</f>
        <v>0.0378732567552125</v>
      </c>
      <c r="Q47" s="18" t="n">
        <f aca="false">IF(AND(ISNUMBER(D47),ISNUMBER(H47)),H47/D47,"")</f>
        <v>0.622376597490913</v>
      </c>
      <c r="R47" s="7" t="n">
        <f aca="false">'India Sites 2020'!J47</f>
        <v>52942</v>
      </c>
      <c r="S47" s="28" t="n">
        <f aca="false">L47/R47-1</f>
        <v>0.0454648483245816</v>
      </c>
    </row>
    <row r="48" customFormat="false" ht="15" hidden="false" customHeight="false" outlineLevel="0" collapsed="false">
      <c r="A48" s="5" t="s">
        <v>549</v>
      </c>
      <c r="B48" s="5" t="s">
        <v>505</v>
      </c>
      <c r="C48" s="5" t="s">
        <v>548</v>
      </c>
      <c r="D48" s="7" t="n">
        <v>7561</v>
      </c>
      <c r="E48" s="27" t="n">
        <v>1</v>
      </c>
      <c r="F48" s="27" t="n">
        <v>1</v>
      </c>
      <c r="G48" s="7" t="n">
        <v>1150</v>
      </c>
      <c r="H48" s="7" t="n">
        <v>4113</v>
      </c>
      <c r="I48" s="27" t="n">
        <v>0.6</v>
      </c>
      <c r="J48" s="27" t="n">
        <v>0.6</v>
      </c>
      <c r="K48" s="7" t="n">
        <v>1866</v>
      </c>
      <c r="L48" s="7" t="n">
        <v>11674</v>
      </c>
      <c r="M48" s="27" t="n">
        <v>0.8</v>
      </c>
      <c r="N48" s="27" t="n">
        <v>0.8</v>
      </c>
      <c r="O48" s="7" t="n">
        <v>1416</v>
      </c>
      <c r="P48" s="17" t="n">
        <f aca="false">L48/L$2</f>
        <v>0.00798808288063653</v>
      </c>
      <c r="Q48" s="18" t="n">
        <f aca="false">IF(AND(ISNUMBER(D48),ISNUMBER(H48)),H48/D48,"")</f>
        <v>0.54397566459463</v>
      </c>
      <c r="R48" s="7" t="n">
        <f aca="false">'India Sites 2020'!J48</f>
        <v>11230</v>
      </c>
      <c r="S48" s="28" t="n">
        <f aca="false">L48/R48-1</f>
        <v>0.0395369545859305</v>
      </c>
    </row>
    <row r="49" customFormat="false" ht="15" hidden="false" customHeight="false" outlineLevel="0" collapsed="false">
      <c r="A49" s="5" t="s">
        <v>550</v>
      </c>
      <c r="B49" s="5" t="s">
        <v>505</v>
      </c>
      <c r="C49" s="5" t="s">
        <v>548</v>
      </c>
      <c r="D49" s="7" t="n">
        <v>26497</v>
      </c>
      <c r="E49" s="27" t="n">
        <v>3.6</v>
      </c>
      <c r="F49" s="27" t="n">
        <v>3.8</v>
      </c>
      <c r="G49" s="7" t="n">
        <v>238</v>
      </c>
      <c r="H49" s="7" t="n">
        <v>17070</v>
      </c>
      <c r="I49" s="27" t="n">
        <v>2.4</v>
      </c>
      <c r="J49" s="27" t="n">
        <v>2.5</v>
      </c>
      <c r="K49" s="7" t="n">
        <v>352</v>
      </c>
      <c r="L49" s="7" t="n">
        <v>43567</v>
      </c>
      <c r="M49" s="27" t="n">
        <v>3</v>
      </c>
      <c r="N49" s="27" t="n">
        <v>3.2</v>
      </c>
      <c r="O49" s="7" t="n">
        <v>284</v>
      </c>
      <c r="P49" s="17" t="n">
        <f aca="false">L49/L$2</f>
        <v>0.0298112735018581</v>
      </c>
      <c r="Q49" s="18" t="n">
        <f aca="false">IF(AND(ISNUMBER(D49),ISNUMBER(H49)),H49/D49,"")</f>
        <v>0.644223874400876</v>
      </c>
      <c r="R49" s="7" t="n">
        <f aca="false">'India Sites 2020'!J49</f>
        <v>41607</v>
      </c>
      <c r="S49" s="28" t="n">
        <f aca="false">L49/R49-1</f>
        <v>0.0471074578796837</v>
      </c>
    </row>
    <row r="50" customFormat="false" ht="28.35" hidden="false" customHeight="false" outlineLevel="0" collapsed="false">
      <c r="A50" s="9" t="s">
        <v>551</v>
      </c>
      <c r="B50" s="5" t="s">
        <v>6</v>
      </c>
      <c r="C50" s="5"/>
      <c r="D50" s="7" t="n">
        <v>58</v>
      </c>
      <c r="E50" s="27" t="n">
        <v>0</v>
      </c>
      <c r="F50" s="27" t="n">
        <v>0</v>
      </c>
      <c r="G50" s="7" t="n">
        <v>103646</v>
      </c>
      <c r="H50" s="7" t="n">
        <v>50</v>
      </c>
      <c r="I50" s="27" t="n">
        <v>0</v>
      </c>
      <c r="J50" s="27" t="n">
        <v>0</v>
      </c>
      <c r="K50" s="7" t="n">
        <v>163299</v>
      </c>
      <c r="L50" s="7" t="n">
        <v>108</v>
      </c>
      <c r="M50" s="27" t="n">
        <v>0</v>
      </c>
      <c r="N50" s="27" t="n">
        <v>0</v>
      </c>
      <c r="O50" s="7" t="n">
        <v>127221</v>
      </c>
      <c r="P50" s="17" t="n">
        <f aca="false">L50/L$2</f>
        <v>7.39003727178983E-005</v>
      </c>
      <c r="Q50" s="18" t="n">
        <f aca="false">IF(AND(ISNUMBER(D50),ISNUMBER(H50)),H50/D50,"")</f>
        <v>0.862068965517241</v>
      </c>
      <c r="R50" s="7" t="n">
        <f aca="false">'India Sites 2020'!J50</f>
        <v>105</v>
      </c>
      <c r="S50" s="28" t="n">
        <f aca="false">L50/R50-1</f>
        <v>0.0285714285714285</v>
      </c>
    </row>
    <row r="51" customFormat="false" ht="15" hidden="false" customHeight="false" outlineLevel="0" collapsed="false">
      <c r="A51" s="9" t="s">
        <v>552</v>
      </c>
      <c r="B51" s="5" t="s">
        <v>6</v>
      </c>
      <c r="C51" s="5"/>
      <c r="D51" s="7" t="n">
        <v>11261</v>
      </c>
      <c r="E51" s="27" t="n">
        <v>1.5</v>
      </c>
      <c r="F51" s="27" t="n">
        <v>1.7</v>
      </c>
      <c r="G51" s="7" t="n">
        <v>465</v>
      </c>
      <c r="H51" s="7" t="n">
        <v>8165</v>
      </c>
      <c r="I51" s="27" t="n">
        <v>1.1</v>
      </c>
      <c r="J51" s="27" t="n">
        <v>1.2</v>
      </c>
      <c r="K51" s="7" t="n">
        <v>646</v>
      </c>
      <c r="L51" s="7" t="n">
        <v>19426</v>
      </c>
      <c r="M51" s="27" t="n">
        <v>1.3</v>
      </c>
      <c r="N51" s="27" t="n">
        <v>1.5</v>
      </c>
      <c r="O51" s="7" t="n">
        <v>541</v>
      </c>
      <c r="P51" s="17" t="n">
        <f aca="false">L51/L$2</f>
        <v>0.0132924874112768</v>
      </c>
      <c r="Q51" s="18" t="n">
        <f aca="false">IF(AND(ISNUMBER(D51),ISNUMBER(H51)),H51/D51,"")</f>
        <v>0.725068821596661</v>
      </c>
      <c r="R51" s="7" t="n">
        <f aca="false">'India Sites 2020'!J51</f>
        <v>18481</v>
      </c>
      <c r="S51" s="28" t="n">
        <f aca="false">L51/R51-1</f>
        <v>0.0511335966668471</v>
      </c>
    </row>
    <row r="52" customFormat="false" ht="15" hidden="false" customHeight="false" outlineLevel="0" collapsed="false">
      <c r="A52" s="9" t="s">
        <v>553</v>
      </c>
      <c r="B52" s="5" t="s">
        <v>6</v>
      </c>
      <c r="C52" s="5"/>
      <c r="D52" s="7" t="n">
        <v>33604</v>
      </c>
      <c r="E52" s="27" t="n">
        <v>4.5</v>
      </c>
      <c r="F52" s="27" t="n">
        <v>4.8</v>
      </c>
      <c r="G52" s="7" t="n">
        <v>239</v>
      </c>
      <c r="H52" s="7" t="n">
        <v>21969</v>
      </c>
      <c r="I52" s="27" t="n">
        <v>3.1</v>
      </c>
      <c r="J52" s="27" t="n">
        <v>3.2</v>
      </c>
      <c r="K52" s="7" t="n">
        <v>352</v>
      </c>
      <c r="L52" s="7" t="n">
        <v>55573</v>
      </c>
      <c r="M52" s="27" t="n">
        <v>3.8</v>
      </c>
      <c r="N52" s="27" t="n">
        <v>4</v>
      </c>
      <c r="O52" s="7" t="n">
        <v>284</v>
      </c>
      <c r="P52" s="17" t="n">
        <f aca="false">L52/L$2</f>
        <v>0.0380265316023311</v>
      </c>
      <c r="Q52" s="18" t="n">
        <f aca="false">IF(AND(ISNUMBER(D52),ISNUMBER(H52)),H52/D52,"")</f>
        <v>0.653761456969408</v>
      </c>
      <c r="R52" s="7" t="n">
        <f aca="false">'India Sites 2020'!J52</f>
        <v>53613</v>
      </c>
      <c r="S52" s="28" t="n">
        <f aca="false">L52/R52-1</f>
        <v>0.0365582974278627</v>
      </c>
    </row>
    <row r="53" customFormat="false" ht="15" hidden="false" customHeight="false" outlineLevel="0" collapsed="false">
      <c r="A53" s="5" t="s">
        <v>554</v>
      </c>
      <c r="B53" s="5" t="s">
        <v>505</v>
      </c>
      <c r="C53" s="5" t="s">
        <v>553</v>
      </c>
      <c r="D53" s="7" t="n">
        <v>14546</v>
      </c>
      <c r="E53" s="27" t="n">
        <v>2</v>
      </c>
      <c r="F53" s="27" t="n">
        <v>2.1</v>
      </c>
      <c r="G53" s="7" t="n">
        <v>609</v>
      </c>
      <c r="H53" s="7" t="n">
        <v>7638</v>
      </c>
      <c r="I53" s="27" t="n">
        <v>1.1</v>
      </c>
      <c r="J53" s="27" t="n">
        <v>1.2</v>
      </c>
      <c r="K53" s="7" t="n">
        <v>1137</v>
      </c>
      <c r="L53" s="7" t="n">
        <v>22184</v>
      </c>
      <c r="M53" s="27" t="n">
        <v>1.5</v>
      </c>
      <c r="N53" s="27" t="n">
        <v>1.7</v>
      </c>
      <c r="O53" s="7" t="n">
        <v>790</v>
      </c>
      <c r="P53" s="17" t="n">
        <f aca="false">L53/L$2</f>
        <v>0.0151796839664246</v>
      </c>
      <c r="Q53" s="18" t="n">
        <f aca="false">IF(AND(ISNUMBER(D53),ISNUMBER(H53)),H53/D53,"")</f>
        <v>0.525092809019662</v>
      </c>
      <c r="R53" s="7" t="n">
        <f aca="false">'India Sites 2020'!J53</f>
        <v>21578</v>
      </c>
      <c r="S53" s="28" t="n">
        <f aca="false">L53/R53-1</f>
        <v>0.0280841597923811</v>
      </c>
    </row>
    <row r="54" customFormat="false" ht="15" hidden="false" customHeight="false" outlineLevel="0" collapsed="false">
      <c r="A54" s="5" t="s">
        <v>555</v>
      </c>
      <c r="B54" s="5" t="s">
        <v>505</v>
      </c>
      <c r="C54" s="5" t="s">
        <v>553</v>
      </c>
      <c r="D54" s="7" t="n">
        <v>15531</v>
      </c>
      <c r="E54" s="27" t="n">
        <v>2.1</v>
      </c>
      <c r="F54" s="27" t="n">
        <v>2.2</v>
      </c>
      <c r="G54" s="7" t="n">
        <v>474</v>
      </c>
      <c r="H54" s="7" t="n">
        <v>11788</v>
      </c>
      <c r="I54" s="27" t="n">
        <v>1.7</v>
      </c>
      <c r="J54" s="27" t="n">
        <v>1.7</v>
      </c>
      <c r="K54" s="7" t="n">
        <v>616</v>
      </c>
      <c r="L54" s="7" t="n">
        <v>27319</v>
      </c>
      <c r="M54" s="27" t="n">
        <v>1.9</v>
      </c>
      <c r="N54" s="27" t="n">
        <v>1.9</v>
      </c>
      <c r="O54" s="7" t="n">
        <v>536</v>
      </c>
      <c r="P54" s="17" t="n">
        <f aca="false">L54/L$2</f>
        <v>0.0186933729840765</v>
      </c>
      <c r="Q54" s="18" t="n">
        <f aca="false">IF(AND(ISNUMBER(D54),ISNUMBER(H54)),H54/D54,"")</f>
        <v>0.758998132766725</v>
      </c>
      <c r="R54" s="7" t="n">
        <f aca="false">'India Sites 2020'!J54</f>
        <v>26188</v>
      </c>
      <c r="S54" s="28" t="n">
        <f aca="false">L54/R54-1</f>
        <v>0.0431877195662136</v>
      </c>
    </row>
    <row r="55" customFormat="false" ht="15" hidden="false" customHeight="false" outlineLevel="0" collapsed="false">
      <c r="A55" s="5" t="s">
        <v>556</v>
      </c>
      <c r="B55" s="5" t="s">
        <v>505</v>
      </c>
      <c r="C55" s="5" t="s">
        <v>553</v>
      </c>
      <c r="D55" s="7" t="n">
        <v>3527</v>
      </c>
      <c r="E55" s="27" t="n">
        <v>0.5</v>
      </c>
      <c r="F55" s="27" t="n">
        <v>0.5</v>
      </c>
      <c r="G55" s="7" t="n">
        <v>2292</v>
      </c>
      <c r="H55" s="7" t="n">
        <v>2543</v>
      </c>
      <c r="I55" s="27" t="n">
        <v>0.4</v>
      </c>
      <c r="J55" s="27" t="n">
        <v>0.4</v>
      </c>
      <c r="K55" s="7" t="n">
        <v>2974</v>
      </c>
      <c r="L55" s="7" t="n">
        <v>6070</v>
      </c>
      <c r="M55" s="27" t="n">
        <v>0.4</v>
      </c>
      <c r="N55" s="27" t="n">
        <v>0.4</v>
      </c>
      <c r="O55" s="7" t="n">
        <v>2585</v>
      </c>
      <c r="P55" s="17" t="n">
        <f aca="false">L55/L$2</f>
        <v>0.00415347465183003</v>
      </c>
      <c r="Q55" s="18" t="n">
        <f aca="false">IF(AND(ISNUMBER(D55),ISNUMBER(H55)),H55/D55,"")</f>
        <v>0.721009356393536</v>
      </c>
      <c r="R55" s="7" t="n">
        <f aca="false">'India Sites 2020'!J55</f>
        <v>5847</v>
      </c>
      <c r="S55" s="28" t="n">
        <f aca="false">L55/R55-1</f>
        <v>0.0381392166923209</v>
      </c>
    </row>
    <row r="56" customFormat="false" ht="15" hidden="false" customHeight="false" outlineLevel="0" collapsed="false">
      <c r="A56" s="9" t="s">
        <v>557</v>
      </c>
      <c r="B56" s="5" t="s">
        <v>6</v>
      </c>
      <c r="C56" s="5"/>
      <c r="D56" s="7" t="n">
        <v>50892</v>
      </c>
      <c r="E56" s="27" t="n">
        <v>6.8</v>
      </c>
      <c r="F56" s="27" t="n">
        <v>7.6</v>
      </c>
      <c r="G56" s="7" t="n">
        <v>114</v>
      </c>
      <c r="H56" s="7" t="n">
        <v>38870</v>
      </c>
      <c r="I56" s="27" t="n">
        <v>5.5</v>
      </c>
      <c r="J56" s="27" t="n">
        <v>5.7</v>
      </c>
      <c r="K56" s="7" t="n">
        <v>153</v>
      </c>
      <c r="L56" s="7" t="n">
        <v>89762</v>
      </c>
      <c r="M56" s="27" t="n">
        <v>6.2</v>
      </c>
      <c r="N56" s="27" t="n">
        <v>6.6</v>
      </c>
      <c r="O56" s="7" t="n">
        <v>131</v>
      </c>
      <c r="P56" s="17" t="n">
        <f aca="false">L56/L$2</f>
        <v>0.0614207894065184</v>
      </c>
      <c r="Q56" s="18" t="n">
        <f aca="false">IF(AND(ISNUMBER(D56),ISNUMBER(H56)),H56/D56,"")</f>
        <v>0.763774267075375</v>
      </c>
      <c r="R56" s="7" t="n">
        <f aca="false">'India Sites 2020'!J56</f>
        <v>85530</v>
      </c>
      <c r="S56" s="28" t="n">
        <f aca="false">L56/R56-1</f>
        <v>0.0494797147199813</v>
      </c>
    </row>
    <row r="58" customFormat="false" ht="45" hidden="false" customHeight="true" outlineLevel="0" collapsed="false">
      <c r="A58" s="26" t="s">
        <v>558</v>
      </c>
      <c r="B58" s="26"/>
      <c r="C58" s="26"/>
      <c r="D58" s="26"/>
      <c r="E58" s="26"/>
      <c r="F58" s="26"/>
      <c r="G58" s="26"/>
      <c r="H58" s="26"/>
      <c r="I58" s="26"/>
      <c r="J58" s="26"/>
    </row>
  </sheetData>
  <autoFilter ref="A1:S56"/>
  <mergeCells count="1">
    <mergeCell ref="A58:J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9"/>
    <col collapsed="false" customWidth="true" hidden="false" outlineLevel="0" max="3" min="3" style="0" width="26"/>
    <col collapsed="false" customWidth="true" hidden="false" outlineLevel="0" max="13" min="4" style="0" width="14"/>
    <col collapsed="false" customWidth="true" hidden="false" outlineLevel="0" max="14" min="14" style="0" width="12"/>
  </cols>
  <sheetData>
    <row r="1" customFormat="false" ht="45" hidden="false" customHeight="true" outlineLevel="0" collapsed="false">
      <c r="A1" s="3" t="s">
        <v>482</v>
      </c>
      <c r="B1" s="3" t="s">
        <v>483</v>
      </c>
      <c r="C1" s="3" t="s">
        <v>484</v>
      </c>
      <c r="D1" s="3" t="s">
        <v>559</v>
      </c>
      <c r="E1" s="3" t="s">
        <v>486</v>
      </c>
      <c r="F1" s="3" t="s">
        <v>488</v>
      </c>
      <c r="G1" s="3" t="s">
        <v>560</v>
      </c>
      <c r="H1" s="3" t="s">
        <v>490</v>
      </c>
      <c r="I1" s="3" t="s">
        <v>492</v>
      </c>
      <c r="J1" s="3" t="s">
        <v>561</v>
      </c>
      <c r="K1" s="3" t="s">
        <v>494</v>
      </c>
      <c r="L1" s="3" t="s">
        <v>496</v>
      </c>
      <c r="M1" s="8" t="s">
        <v>497</v>
      </c>
      <c r="N1" s="8" t="s">
        <v>498</v>
      </c>
    </row>
    <row r="2" customFormat="false" ht="15" hidden="false" customHeight="false" outlineLevel="0" collapsed="false">
      <c r="A2" s="9" t="s">
        <v>501</v>
      </c>
      <c r="B2" s="5" t="s">
        <v>502</v>
      </c>
      <c r="C2" s="5"/>
      <c r="D2" s="7" t="n">
        <v>679421</v>
      </c>
      <c r="E2" s="27" t="n">
        <v>94.1</v>
      </c>
      <c r="F2" s="7" t="n">
        <v>9</v>
      </c>
      <c r="G2" s="7" t="n">
        <v>712758</v>
      </c>
      <c r="H2" s="27" t="n">
        <v>103.6</v>
      </c>
      <c r="I2" s="7" t="n">
        <v>9</v>
      </c>
      <c r="J2" s="7" t="n">
        <v>1392179</v>
      </c>
      <c r="K2" s="27" t="n">
        <v>98.7</v>
      </c>
      <c r="L2" s="7" t="n">
        <v>9</v>
      </c>
      <c r="M2" s="17" t="n">
        <f aca="false">J2/J$2</f>
        <v>1</v>
      </c>
      <c r="N2" s="18" t="n">
        <f aca="false">IF(AND(ISNUMBER(D2),ISNUMBER(G2)),G2/D2,"")</f>
        <v>1.04906677891911</v>
      </c>
    </row>
    <row r="3" customFormat="false" ht="15" hidden="false" customHeight="false" outlineLevel="0" collapsed="false">
      <c r="A3" s="9" t="s">
        <v>503</v>
      </c>
      <c r="B3" s="5" t="s">
        <v>6</v>
      </c>
      <c r="C3" s="5"/>
      <c r="D3" s="7" t="n">
        <v>139018</v>
      </c>
      <c r="E3" s="27" t="n">
        <v>19.2</v>
      </c>
      <c r="F3" s="7" t="n">
        <v>41</v>
      </c>
      <c r="G3" s="7" t="n">
        <v>49951</v>
      </c>
      <c r="H3" s="27" t="n">
        <v>7.3</v>
      </c>
      <c r="I3" s="7" t="n">
        <v>112</v>
      </c>
      <c r="J3" s="7" t="n">
        <v>188969</v>
      </c>
      <c r="K3" s="27" t="n">
        <v>13.4</v>
      </c>
      <c r="L3" s="7" t="n">
        <v>60</v>
      </c>
      <c r="M3" s="17" t="n">
        <f aca="false">J3/J$2</f>
        <v>0.135736137378886</v>
      </c>
      <c r="N3" s="18" t="n">
        <f aca="false">IF(AND(ISNUMBER(D3),ISNUMBER(G3)),G3/D3,"")</f>
        <v>0.35931318246558</v>
      </c>
    </row>
    <row r="4" customFormat="false" ht="15" hidden="false" customHeight="false" outlineLevel="0" collapsed="false">
      <c r="A4" s="5" t="s">
        <v>504</v>
      </c>
      <c r="B4" s="5" t="s">
        <v>505</v>
      </c>
      <c r="C4" s="5" t="s">
        <v>503</v>
      </c>
      <c r="D4" s="7" t="n">
        <v>39902</v>
      </c>
      <c r="E4" s="27" t="n">
        <v>5.5</v>
      </c>
      <c r="F4" s="7" t="n">
        <v>147</v>
      </c>
      <c r="G4" s="7" t="n">
        <v>13870</v>
      </c>
      <c r="H4" s="27" t="n">
        <v>2</v>
      </c>
      <c r="I4" s="7" t="n">
        <v>401</v>
      </c>
      <c r="J4" s="7" t="n">
        <v>53772</v>
      </c>
      <c r="K4" s="27" t="n">
        <v>3.8</v>
      </c>
      <c r="L4" s="7" t="n">
        <v>215</v>
      </c>
      <c r="M4" s="17" t="n">
        <f aca="false">J4/J$2</f>
        <v>0.0386243435650157</v>
      </c>
      <c r="N4" s="18" t="n">
        <f aca="false">IF(AND(ISNUMBER(D4),ISNUMBER(G4)),G4/D4,"")</f>
        <v>0.347601623978748</v>
      </c>
    </row>
    <row r="5" customFormat="false" ht="15" hidden="false" customHeight="false" outlineLevel="0" collapsed="false">
      <c r="A5" s="5" t="s">
        <v>506</v>
      </c>
      <c r="B5" s="5" t="s">
        <v>505</v>
      </c>
      <c r="C5" s="5" t="s">
        <v>503</v>
      </c>
      <c r="D5" s="7" t="n">
        <v>57380</v>
      </c>
      <c r="E5" s="27" t="n">
        <v>7.9</v>
      </c>
      <c r="F5" s="7" t="n">
        <v>103</v>
      </c>
      <c r="G5" s="7" t="n">
        <v>22483</v>
      </c>
      <c r="H5" s="27" t="n">
        <v>3.3</v>
      </c>
      <c r="I5" s="7" t="n">
        <v>241</v>
      </c>
      <c r="J5" s="7" t="n">
        <v>79863</v>
      </c>
      <c r="K5" s="27" t="n">
        <v>5.7</v>
      </c>
      <c r="L5" s="7" t="n">
        <v>144</v>
      </c>
      <c r="M5" s="17" t="n">
        <f aca="false">J5/J$2</f>
        <v>0.0573654680899511</v>
      </c>
      <c r="N5" s="18" t="n">
        <f aca="false">IF(AND(ISNUMBER(D5),ISNUMBER(G5)),G5/D5,"")</f>
        <v>0.391826420355525</v>
      </c>
    </row>
    <row r="6" customFormat="false" ht="15" hidden="false" customHeight="false" outlineLevel="0" collapsed="false">
      <c r="A6" s="5" t="s">
        <v>507</v>
      </c>
      <c r="B6" s="5" t="s">
        <v>505</v>
      </c>
      <c r="C6" s="5" t="s">
        <v>503</v>
      </c>
      <c r="D6" s="7" t="n">
        <v>3029</v>
      </c>
      <c r="E6" s="27" t="n">
        <v>0.4</v>
      </c>
      <c r="F6" s="7" t="n">
        <v>1793</v>
      </c>
      <c r="G6" s="7" t="n">
        <v>1102</v>
      </c>
      <c r="H6" s="27" t="n">
        <v>0.2</v>
      </c>
      <c r="I6" s="7" t="n">
        <v>5475</v>
      </c>
      <c r="J6" s="7" t="n">
        <v>4131</v>
      </c>
      <c r="K6" s="27" t="n">
        <v>0.3</v>
      </c>
      <c r="L6" s="7" t="n">
        <v>2701</v>
      </c>
      <c r="M6" s="17" t="n">
        <f aca="false">J6/J$2</f>
        <v>0.00296729084406531</v>
      </c>
      <c r="N6" s="18" t="n">
        <f aca="false">IF(AND(ISNUMBER(D6),ISNUMBER(G6)),G6/D6,"")</f>
        <v>0.36381644106966</v>
      </c>
    </row>
    <row r="7" customFormat="false" ht="15" hidden="false" customHeight="false" outlineLevel="0" collapsed="false">
      <c r="A7" s="5" t="s">
        <v>508</v>
      </c>
      <c r="B7" s="5" t="s">
        <v>505</v>
      </c>
      <c r="C7" s="5" t="s">
        <v>503</v>
      </c>
      <c r="D7" s="7" t="n">
        <v>38707</v>
      </c>
      <c r="E7" s="27" t="n">
        <v>5.4</v>
      </c>
      <c r="F7" s="7" t="n">
        <v>137</v>
      </c>
      <c r="G7" s="7" t="n">
        <v>12496</v>
      </c>
      <c r="H7" s="27" t="n">
        <v>1.8</v>
      </c>
      <c r="I7" s="7" t="n">
        <v>476</v>
      </c>
      <c r="J7" s="7" t="n">
        <v>51203</v>
      </c>
      <c r="K7" s="27" t="n">
        <v>3.6</v>
      </c>
      <c r="L7" s="7" t="n">
        <v>213</v>
      </c>
      <c r="M7" s="17" t="n">
        <f aca="false">J7/J$2</f>
        <v>0.0367790348798538</v>
      </c>
      <c r="N7" s="18" t="n">
        <f aca="false">IF(AND(ISNUMBER(D7),ISNUMBER(G7)),G7/D7,"")</f>
        <v>0.32283566280001</v>
      </c>
    </row>
    <row r="8" customFormat="false" ht="15" hidden="false" customHeight="false" outlineLevel="0" collapsed="false">
      <c r="A8" s="9" t="s">
        <v>509</v>
      </c>
      <c r="B8" s="5" t="s">
        <v>6</v>
      </c>
      <c r="C8" s="5"/>
      <c r="D8" s="7" t="n">
        <v>163845</v>
      </c>
      <c r="E8" s="27" t="n">
        <v>22.7</v>
      </c>
      <c r="F8" s="7" t="n">
        <v>32</v>
      </c>
      <c r="G8" s="7" t="n">
        <v>110137</v>
      </c>
      <c r="H8" s="27" t="n">
        <v>16</v>
      </c>
      <c r="I8" s="7" t="n">
        <v>50</v>
      </c>
      <c r="J8" s="7" t="n">
        <v>273982</v>
      </c>
      <c r="K8" s="27" t="n">
        <v>19.4</v>
      </c>
      <c r="L8" s="7" t="n">
        <v>39</v>
      </c>
      <c r="M8" s="17" t="n">
        <f aca="false">J8/J$2</f>
        <v>0.196800842420407</v>
      </c>
      <c r="N8" s="18" t="n">
        <f aca="false">IF(AND(ISNUMBER(D8),ISNUMBER(G8)),G8/D8,"")</f>
        <v>0.672202386401782</v>
      </c>
    </row>
    <row r="9" customFormat="false" ht="15" hidden="false" customHeight="false" outlineLevel="0" collapsed="false">
      <c r="A9" s="5" t="s">
        <v>510</v>
      </c>
      <c r="B9" s="5" t="s">
        <v>505</v>
      </c>
      <c r="C9" s="5" t="s">
        <v>509</v>
      </c>
      <c r="D9" s="7" t="n">
        <v>32622</v>
      </c>
      <c r="E9" s="27" t="n">
        <v>4.5</v>
      </c>
      <c r="F9" s="7" t="n">
        <v>159</v>
      </c>
      <c r="G9" s="7" t="n">
        <v>20206</v>
      </c>
      <c r="H9" s="27" t="n">
        <v>2.9</v>
      </c>
      <c r="I9" s="7" t="n">
        <v>264</v>
      </c>
      <c r="J9" s="7" t="n">
        <v>52828</v>
      </c>
      <c r="K9" s="27" t="n">
        <v>3.7</v>
      </c>
      <c r="L9" s="7" t="n">
        <v>198</v>
      </c>
      <c r="M9" s="17" t="n">
        <f aca="false">J9/J$2</f>
        <v>0.0379462698403007</v>
      </c>
      <c r="N9" s="18" t="n">
        <f aca="false">IF(AND(ISNUMBER(D9),ISNUMBER(G9)),G9/D9,"")</f>
        <v>0.619397952302127</v>
      </c>
    </row>
    <row r="10" customFormat="false" ht="15" hidden="false" customHeight="false" outlineLevel="0" collapsed="false">
      <c r="A10" s="5" t="s">
        <v>511</v>
      </c>
      <c r="B10" s="5" t="s">
        <v>505</v>
      </c>
      <c r="C10" s="5" t="s">
        <v>509</v>
      </c>
      <c r="D10" s="7" t="n">
        <v>32713</v>
      </c>
      <c r="E10" s="27" t="n">
        <v>4.5</v>
      </c>
      <c r="F10" s="7" t="n">
        <v>160</v>
      </c>
      <c r="G10" s="7" t="n">
        <v>17430</v>
      </c>
      <c r="H10" s="27" t="n">
        <v>2.5</v>
      </c>
      <c r="I10" s="7" t="n">
        <v>319</v>
      </c>
      <c r="J10" s="7" t="n">
        <v>50143</v>
      </c>
      <c r="K10" s="27" t="n">
        <v>3.6</v>
      </c>
      <c r="L10" s="7" t="n">
        <v>213</v>
      </c>
      <c r="M10" s="17" t="n">
        <f aca="false">J10/J$2</f>
        <v>0.0360176385364238</v>
      </c>
      <c r="N10" s="18" t="n">
        <f aca="false">IF(AND(ISNUMBER(D10),ISNUMBER(G10)),G10/D10,"")</f>
        <v>0.532815700180356</v>
      </c>
    </row>
    <row r="11" customFormat="false" ht="15" hidden="false" customHeight="false" outlineLevel="0" collapsed="false">
      <c r="A11" s="5" t="s">
        <v>512</v>
      </c>
      <c r="B11" s="5" t="s">
        <v>505</v>
      </c>
      <c r="C11" s="5" t="s">
        <v>509</v>
      </c>
      <c r="D11" s="7" t="n">
        <v>2155</v>
      </c>
      <c r="E11" s="27" t="n">
        <v>0.3</v>
      </c>
      <c r="F11" s="7" t="n">
        <v>2492</v>
      </c>
      <c r="G11" s="7" t="n">
        <v>1451</v>
      </c>
      <c r="H11" s="27" t="n">
        <v>0.2</v>
      </c>
      <c r="I11" s="7" t="n">
        <v>3901</v>
      </c>
      <c r="J11" s="7" t="n">
        <v>3606</v>
      </c>
      <c r="K11" s="27" t="n">
        <v>0.3</v>
      </c>
      <c r="L11" s="7" t="n">
        <v>3044</v>
      </c>
      <c r="M11" s="17" t="n">
        <f aca="false">J11/J$2</f>
        <v>0.00259018416453631</v>
      </c>
      <c r="N11" s="18" t="n">
        <f aca="false">IF(AND(ISNUMBER(D11),ISNUMBER(G11)),G11/D11,"")</f>
        <v>0.673317865429234</v>
      </c>
    </row>
    <row r="12" customFormat="false" ht="15" hidden="false" customHeight="false" outlineLevel="0" collapsed="false">
      <c r="A12" s="5" t="s">
        <v>513</v>
      </c>
      <c r="B12" s="5" t="s">
        <v>505</v>
      </c>
      <c r="C12" s="5" t="s">
        <v>509</v>
      </c>
      <c r="D12" s="7" t="n">
        <v>20572</v>
      </c>
      <c r="E12" s="27" t="n">
        <v>2.8</v>
      </c>
      <c r="F12" s="7" t="n">
        <v>260</v>
      </c>
      <c r="G12" s="7" t="n">
        <v>15685</v>
      </c>
      <c r="H12" s="27" t="n">
        <v>2.3</v>
      </c>
      <c r="I12" s="7" t="n">
        <v>348</v>
      </c>
      <c r="J12" s="7" t="n">
        <v>36257</v>
      </c>
      <c r="K12" s="27" t="n">
        <v>2.6</v>
      </c>
      <c r="L12" s="7" t="n">
        <v>298</v>
      </c>
      <c r="M12" s="17" t="n">
        <f aca="false">J12/J$2</f>
        <v>0.0260433464374912</v>
      </c>
      <c r="N12" s="18" t="n">
        <f aca="false">IF(AND(ISNUMBER(D12),ISNUMBER(G12)),G12/D12,"")</f>
        <v>0.762444098775034</v>
      </c>
    </row>
    <row r="13" customFormat="false" ht="15" hidden="false" customHeight="false" outlineLevel="0" collapsed="false">
      <c r="A13" s="5" t="s">
        <v>514</v>
      </c>
      <c r="B13" s="5" t="s">
        <v>505</v>
      </c>
      <c r="C13" s="5" t="s">
        <v>509</v>
      </c>
      <c r="D13" s="7" t="n">
        <v>21915</v>
      </c>
      <c r="E13" s="27" t="n">
        <v>3</v>
      </c>
      <c r="F13" s="7" t="n">
        <v>244</v>
      </c>
      <c r="G13" s="7" t="n">
        <v>14985</v>
      </c>
      <c r="H13" s="27" t="n">
        <v>2.2</v>
      </c>
      <c r="I13" s="7" t="n">
        <v>372</v>
      </c>
      <c r="J13" s="7" t="n">
        <v>36900</v>
      </c>
      <c r="K13" s="27" t="n">
        <v>2.6</v>
      </c>
      <c r="L13" s="7" t="n">
        <v>295</v>
      </c>
      <c r="M13" s="17" t="n">
        <f aca="false">J13/J$2</f>
        <v>0.0265052123326095</v>
      </c>
      <c r="N13" s="18" t="n">
        <f aca="false">IF(AND(ISNUMBER(D13),ISNUMBER(G13)),G13/D13,"")</f>
        <v>0.683778234086242</v>
      </c>
    </row>
    <row r="14" customFormat="false" ht="15" hidden="false" customHeight="false" outlineLevel="0" collapsed="false">
      <c r="A14" s="5" t="s">
        <v>515</v>
      </c>
      <c r="B14" s="5" t="s">
        <v>505</v>
      </c>
      <c r="C14" s="5" t="s">
        <v>509</v>
      </c>
      <c r="D14" s="7" t="n">
        <v>2897</v>
      </c>
      <c r="E14" s="27" t="n">
        <v>0.4</v>
      </c>
      <c r="F14" s="7" t="n">
        <v>1865</v>
      </c>
      <c r="G14" s="7" t="n">
        <v>2028</v>
      </c>
      <c r="H14" s="27" t="n">
        <v>0.3</v>
      </c>
      <c r="I14" s="7" t="n">
        <v>2682</v>
      </c>
      <c r="J14" s="7" t="n">
        <v>4925</v>
      </c>
      <c r="K14" s="27" t="n">
        <v>0.3</v>
      </c>
      <c r="L14" s="7" t="n">
        <v>2200</v>
      </c>
      <c r="M14" s="17" t="n">
        <f aca="false">J14/J$2</f>
        <v>0.00353761980320059</v>
      </c>
      <c r="N14" s="18" t="n">
        <f aca="false">IF(AND(ISNUMBER(D14),ISNUMBER(G14)),G14/D14,"")</f>
        <v>0.70003451846738</v>
      </c>
    </row>
    <row r="15" customFormat="false" ht="15" hidden="false" customHeight="false" outlineLevel="0" collapsed="false">
      <c r="A15" s="5" t="s">
        <v>516</v>
      </c>
      <c r="B15" s="5" t="s">
        <v>505</v>
      </c>
      <c r="C15" s="5" t="s">
        <v>509</v>
      </c>
      <c r="D15" s="7" t="n">
        <v>26678</v>
      </c>
      <c r="E15" s="27" t="n">
        <v>3.7</v>
      </c>
      <c r="F15" s="7" t="n">
        <v>189</v>
      </c>
      <c r="G15" s="7" t="n">
        <v>10732</v>
      </c>
      <c r="H15" s="27" t="n">
        <v>1.6</v>
      </c>
      <c r="I15" s="7" t="n">
        <v>514</v>
      </c>
      <c r="J15" s="7" t="n">
        <v>37410</v>
      </c>
      <c r="K15" s="27" t="n">
        <v>2.7</v>
      </c>
      <c r="L15" s="7" t="n">
        <v>277</v>
      </c>
      <c r="M15" s="17" t="n">
        <f aca="false">J15/J$2</f>
        <v>0.0268715445355806</v>
      </c>
      <c r="N15" s="18" t="n">
        <f aca="false">IF(AND(ISNUMBER(D15),ISNUMBER(G15)),G15/D15,"")</f>
        <v>0.40227903141165</v>
      </c>
    </row>
    <row r="16" customFormat="false" ht="15" hidden="false" customHeight="false" outlineLevel="0" collapsed="false">
      <c r="A16" s="5" t="s">
        <v>517</v>
      </c>
      <c r="B16" s="5" t="s">
        <v>505</v>
      </c>
      <c r="C16" s="5" t="s">
        <v>509</v>
      </c>
      <c r="D16" s="7" t="n">
        <v>12385</v>
      </c>
      <c r="E16" s="27" t="n">
        <v>1.7</v>
      </c>
      <c r="F16" s="7" t="n">
        <v>422</v>
      </c>
      <c r="G16" s="7" t="n">
        <v>19510</v>
      </c>
      <c r="H16" s="27" t="n">
        <v>2.8</v>
      </c>
      <c r="I16" s="7" t="n">
        <v>284</v>
      </c>
      <c r="J16" s="7" t="n">
        <v>31895</v>
      </c>
      <c r="K16" s="27" t="n">
        <v>2.3</v>
      </c>
      <c r="L16" s="7" t="n">
        <v>340</v>
      </c>
      <c r="M16" s="17" t="n">
        <f aca="false">J16/J$2</f>
        <v>0.0229101286544331</v>
      </c>
      <c r="N16" s="18" t="n">
        <f aca="false">IF(AND(ISNUMBER(D16),ISNUMBER(G16)),G16/D16,"")</f>
        <v>1.57529269277352</v>
      </c>
    </row>
    <row r="17" customFormat="false" ht="15" hidden="false" customHeight="false" outlineLevel="0" collapsed="false">
      <c r="A17" s="5" t="s">
        <v>518</v>
      </c>
      <c r="B17" s="5" t="s">
        <v>505</v>
      </c>
      <c r="C17" s="5" t="s">
        <v>509</v>
      </c>
      <c r="D17" s="7" t="n">
        <v>11908</v>
      </c>
      <c r="E17" s="27" t="n">
        <v>1.6</v>
      </c>
      <c r="F17" s="7" t="n">
        <v>429</v>
      </c>
      <c r="G17" s="7" t="n">
        <v>8110</v>
      </c>
      <c r="H17" s="27" t="n">
        <v>1.2</v>
      </c>
      <c r="I17" s="7" t="n">
        <v>657</v>
      </c>
      <c r="J17" s="7" t="n">
        <v>20018</v>
      </c>
      <c r="K17" s="27" t="n">
        <v>1.4</v>
      </c>
      <c r="L17" s="7" t="n">
        <v>519</v>
      </c>
      <c r="M17" s="17" t="n">
        <f aca="false">J17/J$2</f>
        <v>0.0143788981158314</v>
      </c>
      <c r="N17" s="18" t="n">
        <f aca="false">IF(AND(ISNUMBER(D17),ISNUMBER(G17)),G17/D17,"")</f>
        <v>0.681054753107155</v>
      </c>
    </row>
    <row r="18" customFormat="false" ht="15" hidden="false" customHeight="false" outlineLevel="0" collapsed="false">
      <c r="A18" s="9" t="s">
        <v>519</v>
      </c>
      <c r="B18" s="5" t="s">
        <v>6</v>
      </c>
      <c r="C18" s="5"/>
      <c r="D18" s="7" t="n">
        <v>103552</v>
      </c>
      <c r="E18" s="27" t="n">
        <v>14.3</v>
      </c>
      <c r="F18" s="7" t="n">
        <v>48</v>
      </c>
      <c r="G18" s="7" t="n">
        <v>32480</v>
      </c>
      <c r="H18" s="27" t="n">
        <v>4.7</v>
      </c>
      <c r="I18" s="7" t="n">
        <v>165</v>
      </c>
      <c r="J18" s="7" t="n">
        <v>136032</v>
      </c>
      <c r="K18" s="27" t="n">
        <v>9.6</v>
      </c>
      <c r="L18" s="7" t="n">
        <v>74</v>
      </c>
      <c r="M18" s="17" t="n">
        <f aca="false">J18/J$2</f>
        <v>0.0977115730089306</v>
      </c>
      <c r="N18" s="18" t="n">
        <f aca="false">IF(AND(ISNUMBER(D18),ISNUMBER(G18)),G18/D18,"")</f>
        <v>0.313658838071693</v>
      </c>
    </row>
    <row r="19" customFormat="false" ht="15" hidden="false" customHeight="false" outlineLevel="0" collapsed="false">
      <c r="A19" s="5" t="s">
        <v>520</v>
      </c>
      <c r="B19" s="5" t="s">
        <v>505</v>
      </c>
      <c r="C19" s="5" t="s">
        <v>519</v>
      </c>
      <c r="D19" s="7" t="n">
        <v>27146</v>
      </c>
      <c r="E19" s="27" t="n">
        <v>3.8</v>
      </c>
      <c r="F19" s="7" t="n">
        <v>184</v>
      </c>
      <c r="G19" s="7" t="n">
        <v>3316</v>
      </c>
      <c r="H19" s="27" t="n">
        <v>0.5</v>
      </c>
      <c r="I19" s="7" t="n">
        <v>1633</v>
      </c>
      <c r="J19" s="7" t="n">
        <v>30462</v>
      </c>
      <c r="K19" s="27" t="n">
        <v>2.2</v>
      </c>
      <c r="L19" s="7" t="n">
        <v>331</v>
      </c>
      <c r="M19" s="17" t="n">
        <f aca="false">J19/J$2</f>
        <v>0.0218808069939282</v>
      </c>
      <c r="N19" s="18" t="n">
        <f aca="false">IF(AND(ISNUMBER(D19),ISNUMBER(G19)),G19/D19,"")</f>
        <v>0.122154276873204</v>
      </c>
    </row>
    <row r="20" customFormat="false" ht="15" hidden="false" customHeight="false" outlineLevel="0" collapsed="false">
      <c r="A20" s="5" t="s">
        <v>521</v>
      </c>
      <c r="B20" s="5" t="s">
        <v>505</v>
      </c>
      <c r="C20" s="5" t="s">
        <v>519</v>
      </c>
      <c r="D20" s="7" t="n">
        <v>71788</v>
      </c>
      <c r="E20" s="27" t="n">
        <v>9.9</v>
      </c>
      <c r="F20" s="7" t="n">
        <v>68</v>
      </c>
      <c r="G20" s="7" t="n">
        <v>26490</v>
      </c>
      <c r="H20" s="27" t="n">
        <v>3.9</v>
      </c>
      <c r="I20" s="7" t="n">
        <v>201</v>
      </c>
      <c r="J20" s="7" t="n">
        <v>98278</v>
      </c>
      <c r="K20" s="27" t="n">
        <v>7</v>
      </c>
      <c r="L20" s="7" t="n">
        <v>101</v>
      </c>
      <c r="M20" s="17" t="n">
        <f aca="false">J20/J$2</f>
        <v>0.0705929338109539</v>
      </c>
      <c r="N20" s="18" t="n">
        <f aca="false">IF(AND(ISNUMBER(D20),ISNUMBER(G20)),G20/D20,"")</f>
        <v>0.369003176018276</v>
      </c>
    </row>
    <row r="21" customFormat="false" ht="15" hidden="false" customHeight="false" outlineLevel="0" collapsed="false">
      <c r="A21" s="5" t="s">
        <v>522</v>
      </c>
      <c r="B21" s="5" t="s">
        <v>505</v>
      </c>
      <c r="C21" s="5" t="s">
        <v>519</v>
      </c>
      <c r="D21" s="7" t="n">
        <v>4618</v>
      </c>
      <c r="E21" s="27" t="n">
        <v>0.6</v>
      </c>
      <c r="F21" s="7" t="n">
        <v>1273</v>
      </c>
      <c r="G21" s="7" t="n">
        <v>2674</v>
      </c>
      <c r="H21" s="27" t="n">
        <v>0.4</v>
      </c>
      <c r="I21" s="7" t="n">
        <v>2156</v>
      </c>
      <c r="J21" s="7" t="n">
        <v>7292</v>
      </c>
      <c r="K21" s="27" t="n">
        <v>0.5</v>
      </c>
      <c r="L21" s="7" t="n">
        <v>1600</v>
      </c>
      <c r="M21" s="17" t="n">
        <f aca="false">J21/J$2</f>
        <v>0.00523783220404847</v>
      </c>
      <c r="N21" s="18" t="n">
        <f aca="false">IF(AND(ISNUMBER(D21),ISNUMBER(G21)),G21/D21,"")</f>
        <v>0.579038544824599</v>
      </c>
    </row>
    <row r="22" customFormat="false" ht="15" hidden="false" customHeight="false" outlineLevel="0" collapsed="false">
      <c r="A22" s="9" t="s">
        <v>523</v>
      </c>
      <c r="B22" s="5" t="s">
        <v>6</v>
      </c>
      <c r="C22" s="5"/>
      <c r="D22" s="7" t="n">
        <v>8115</v>
      </c>
      <c r="E22" s="27" t="n">
        <v>1.1</v>
      </c>
      <c r="F22" s="7" t="n">
        <v>1013</v>
      </c>
      <c r="G22" s="7" t="n">
        <v>5840</v>
      </c>
      <c r="H22" s="27" t="n">
        <v>0.8</v>
      </c>
      <c r="I22" s="7" t="n">
        <v>1370</v>
      </c>
      <c r="J22" s="7" t="n">
        <v>13955</v>
      </c>
      <c r="K22" s="27" t="n">
        <v>1</v>
      </c>
      <c r="L22" s="7" t="n">
        <v>1162</v>
      </c>
      <c r="M22" s="17" t="n">
        <f aca="false">J22/J$2</f>
        <v>0.0100238546910993</v>
      </c>
      <c r="N22" s="18" t="n">
        <f aca="false">IF(AND(ISNUMBER(D22),ISNUMBER(G22)),G22/D22,"")</f>
        <v>0.719654959950709</v>
      </c>
    </row>
    <row r="23" customFormat="false" ht="15" hidden="false" customHeight="false" outlineLevel="0" collapsed="false">
      <c r="A23" s="9" t="s">
        <v>524</v>
      </c>
      <c r="B23" s="5" t="s">
        <v>6</v>
      </c>
      <c r="C23" s="5"/>
      <c r="D23" s="7" t="n">
        <v>8047</v>
      </c>
      <c r="E23" s="27" t="n">
        <v>1.1</v>
      </c>
      <c r="F23" s="7" t="n">
        <v>842</v>
      </c>
      <c r="G23" s="7" t="n">
        <v>6590</v>
      </c>
      <c r="H23" s="27" t="n">
        <v>1</v>
      </c>
      <c r="I23" s="7" t="n">
        <v>1052</v>
      </c>
      <c r="J23" s="7" t="n">
        <v>14637</v>
      </c>
      <c r="K23" s="27" t="n">
        <v>1</v>
      </c>
      <c r="L23" s="7" t="n">
        <v>936</v>
      </c>
      <c r="M23" s="17" t="n">
        <f aca="false">J23/J$2</f>
        <v>0.0105137342252684</v>
      </c>
      <c r="N23" s="18" t="n">
        <f aca="false">IF(AND(ISNUMBER(D23),ISNUMBER(G23)),G23/D23,"")</f>
        <v>0.818938734932273</v>
      </c>
    </row>
    <row r="24" customFormat="false" ht="15" hidden="false" customHeight="false" outlineLevel="0" collapsed="false">
      <c r="A24" s="9" t="s">
        <v>525</v>
      </c>
      <c r="B24" s="5" t="s">
        <v>6</v>
      </c>
      <c r="C24" s="5"/>
      <c r="D24" s="7" t="n">
        <v>11203</v>
      </c>
      <c r="E24" s="27" t="n">
        <v>1.6</v>
      </c>
      <c r="F24" s="7" t="n">
        <v>510</v>
      </c>
      <c r="G24" s="7" t="n">
        <v>8962</v>
      </c>
      <c r="H24" s="27" t="n">
        <v>1.3</v>
      </c>
      <c r="I24" s="7" t="n">
        <v>640</v>
      </c>
      <c r="J24" s="7" t="n">
        <v>20165</v>
      </c>
      <c r="K24" s="27" t="n">
        <v>1.4</v>
      </c>
      <c r="L24" s="7" t="n">
        <v>568</v>
      </c>
      <c r="M24" s="17" t="n">
        <f aca="false">J24/J$2</f>
        <v>0.0144844879860995</v>
      </c>
      <c r="N24" s="18" t="n">
        <f aca="false">IF(AND(ISNUMBER(D24),ISNUMBER(G24)),G24/D24,"")</f>
        <v>0.799964295278051</v>
      </c>
    </row>
    <row r="25" customFormat="false" ht="28.35" hidden="false" customHeight="false" outlineLevel="0" collapsed="false">
      <c r="A25" s="5" t="s">
        <v>526</v>
      </c>
      <c r="B25" s="5" t="s">
        <v>505</v>
      </c>
      <c r="C25" s="5" t="s">
        <v>525</v>
      </c>
      <c r="D25" s="7" t="n">
        <v>3003</v>
      </c>
      <c r="E25" s="27" t="n">
        <v>0.4</v>
      </c>
      <c r="F25" s="7" t="n">
        <v>1904</v>
      </c>
      <c r="G25" s="7" t="n">
        <v>2364</v>
      </c>
      <c r="H25" s="27" t="n">
        <v>0.3</v>
      </c>
      <c r="I25" s="7" t="n">
        <v>2281</v>
      </c>
      <c r="J25" s="7" t="n">
        <v>5367</v>
      </c>
      <c r="K25" s="27" t="n">
        <v>0.4</v>
      </c>
      <c r="L25" s="7" t="n">
        <v>2075</v>
      </c>
      <c r="M25" s="17" t="n">
        <f aca="false">J25/J$2</f>
        <v>0.00385510771244215</v>
      </c>
      <c r="N25" s="18" t="n">
        <f aca="false">IF(AND(ISNUMBER(D25),ISNUMBER(G25)),G25/D25,"")</f>
        <v>0.787212787212787</v>
      </c>
    </row>
    <row r="26" customFormat="false" ht="28.35" hidden="false" customHeight="false" outlineLevel="0" collapsed="false">
      <c r="A26" s="5" t="s">
        <v>527</v>
      </c>
      <c r="B26" s="5" t="s">
        <v>505</v>
      </c>
      <c r="C26" s="5" t="s">
        <v>525</v>
      </c>
      <c r="D26" s="7" t="n">
        <v>8200</v>
      </c>
      <c r="E26" s="27" t="n">
        <v>1.1</v>
      </c>
      <c r="F26" s="7" t="n">
        <v>695</v>
      </c>
      <c r="G26" s="7" t="n">
        <v>6598</v>
      </c>
      <c r="H26" s="27" t="n">
        <v>1</v>
      </c>
      <c r="I26" s="7" t="n">
        <v>890</v>
      </c>
      <c r="J26" s="7" t="n">
        <v>14798</v>
      </c>
      <c r="K26" s="27" t="n">
        <v>1</v>
      </c>
      <c r="L26" s="7" t="n">
        <v>781</v>
      </c>
      <c r="M26" s="17" t="n">
        <f aca="false">J26/J$2</f>
        <v>0.0106293802736573</v>
      </c>
      <c r="N26" s="18" t="n">
        <f aca="false">IF(AND(ISNUMBER(D26),ISNUMBER(G26)),G26/D26,"")</f>
        <v>0.804634146341464</v>
      </c>
    </row>
    <row r="27" customFormat="false" ht="15" hidden="false" customHeight="false" outlineLevel="0" collapsed="false">
      <c r="A27" s="9" t="s">
        <v>528</v>
      </c>
      <c r="B27" s="5" t="s">
        <v>6</v>
      </c>
      <c r="C27" s="5"/>
      <c r="D27" s="7" t="n">
        <v>5377</v>
      </c>
      <c r="E27" s="27" t="n">
        <v>0.7</v>
      </c>
      <c r="F27" s="7" t="n">
        <v>1022</v>
      </c>
      <c r="G27" s="7" t="n">
        <v>205424</v>
      </c>
      <c r="H27" s="27" t="n">
        <v>29.9</v>
      </c>
      <c r="I27" s="7" t="n">
        <v>29</v>
      </c>
      <c r="J27" s="7" t="n">
        <v>210801</v>
      </c>
      <c r="K27" s="27" t="n">
        <v>15</v>
      </c>
      <c r="L27" s="7" t="n">
        <v>56</v>
      </c>
      <c r="M27" s="17" t="n">
        <f aca="false">J27/J$2</f>
        <v>0.151418028859795</v>
      </c>
      <c r="N27" s="18" t="n">
        <f aca="false">IF(AND(ISNUMBER(D27),ISNUMBER(G27)),G27/D27,"")</f>
        <v>38.2042030872234</v>
      </c>
    </row>
    <row r="28" customFormat="false" ht="15" hidden="false" customHeight="false" outlineLevel="0" collapsed="false">
      <c r="A28" s="9" t="s">
        <v>529</v>
      </c>
      <c r="B28" s="5" t="s">
        <v>6</v>
      </c>
      <c r="C28" s="5"/>
      <c r="D28" s="7" t="n">
        <v>51994</v>
      </c>
      <c r="E28" s="27" t="n">
        <v>7.2</v>
      </c>
      <c r="F28" s="7" t="n">
        <v>105</v>
      </c>
      <c r="G28" s="7" t="n">
        <v>155630</v>
      </c>
      <c r="H28" s="27" t="n">
        <v>22.6</v>
      </c>
      <c r="I28" s="7" t="n">
        <v>36</v>
      </c>
      <c r="J28" s="7" t="n">
        <v>207624</v>
      </c>
      <c r="K28" s="27" t="n">
        <v>14.7</v>
      </c>
      <c r="L28" s="7" t="n">
        <v>54</v>
      </c>
      <c r="M28" s="17" t="n">
        <f aca="false">J28/J$2</f>
        <v>0.149135994724816</v>
      </c>
      <c r="N28" s="18" t="n">
        <f aca="false">IF(AND(ISNUMBER(D28),ISNUMBER(G28)),G28/D28,"")</f>
        <v>2.99322998807555</v>
      </c>
    </row>
    <row r="29" customFormat="false" ht="15" hidden="false" customHeight="false" outlineLevel="0" collapsed="false">
      <c r="A29" s="5" t="s">
        <v>530</v>
      </c>
      <c r="B29" s="5" t="s">
        <v>505</v>
      </c>
      <c r="C29" s="5" t="s">
        <v>529</v>
      </c>
      <c r="G29" s="7" t="n">
        <v>75209</v>
      </c>
      <c r="H29" s="27" t="n">
        <v>10.9</v>
      </c>
      <c r="I29" s="7" t="n">
        <v>75</v>
      </c>
      <c r="J29" s="7" t="n">
        <v>75209</v>
      </c>
      <c r="K29" s="27" t="n">
        <v>10.9</v>
      </c>
      <c r="L29" s="7" t="n">
        <v>75</v>
      </c>
      <c r="M29" s="17" t="n">
        <f aca="false">J29/J$2</f>
        <v>0.0540225071632312</v>
      </c>
      <c r="N29" s="18" t="str">
        <f aca="false">IF(AND(ISNUMBER(D29),ISNUMBER(G29)),G29/D29,"")</f>
        <v/>
      </c>
    </row>
    <row r="30" customFormat="false" ht="15" hidden="false" customHeight="false" outlineLevel="0" collapsed="false">
      <c r="A30" s="5" t="s">
        <v>531</v>
      </c>
      <c r="B30" s="5" t="s">
        <v>505</v>
      </c>
      <c r="C30" s="5" t="s">
        <v>529</v>
      </c>
      <c r="G30" s="7" t="n">
        <v>26514</v>
      </c>
      <c r="H30" s="27" t="n">
        <v>3.9</v>
      </c>
      <c r="I30" s="7" t="n">
        <v>190</v>
      </c>
      <c r="J30" s="7" t="n">
        <v>26514</v>
      </c>
      <c r="K30" s="27" t="n">
        <v>3.9</v>
      </c>
      <c r="L30" s="7" t="n">
        <v>190</v>
      </c>
      <c r="M30" s="17" t="n">
        <f aca="false">J30/J$2</f>
        <v>0.0190449647638702</v>
      </c>
      <c r="N30" s="18" t="str">
        <f aca="false">IF(AND(ISNUMBER(D30),ISNUMBER(G30)),G30/D30,"")</f>
        <v/>
      </c>
    </row>
    <row r="31" customFormat="false" ht="15" hidden="false" customHeight="false" outlineLevel="0" collapsed="false">
      <c r="A31" s="5" t="s">
        <v>532</v>
      </c>
      <c r="B31" s="5" t="s">
        <v>505</v>
      </c>
      <c r="C31" s="5" t="s">
        <v>529</v>
      </c>
      <c r="G31" s="7" t="n">
        <v>43886</v>
      </c>
      <c r="H31" s="27" t="n">
        <v>6.4</v>
      </c>
      <c r="I31" s="7" t="n">
        <v>133</v>
      </c>
      <c r="J31" s="7" t="n">
        <v>43886</v>
      </c>
      <c r="K31" s="27" t="n">
        <v>6.4</v>
      </c>
      <c r="L31" s="7" t="n">
        <v>133</v>
      </c>
      <c r="M31" s="17" t="n">
        <f aca="false">J31/J$2</f>
        <v>0.0315232452148754</v>
      </c>
      <c r="N31" s="18" t="str">
        <f aca="false">IF(AND(ISNUMBER(D31),ISNUMBER(G31)),G31/D31,"")</f>
        <v/>
      </c>
    </row>
    <row r="32" customFormat="false" ht="15" hidden="false" customHeight="false" outlineLevel="0" collapsed="false">
      <c r="A32" s="5" t="s">
        <v>533</v>
      </c>
      <c r="B32" s="5" t="s">
        <v>505</v>
      </c>
      <c r="C32" s="5" t="s">
        <v>529</v>
      </c>
      <c r="G32" s="7" t="n">
        <v>2138</v>
      </c>
      <c r="H32" s="27" t="n">
        <v>0.3</v>
      </c>
      <c r="I32" s="7" t="n">
        <v>2459</v>
      </c>
      <c r="J32" s="7" t="n">
        <v>2138</v>
      </c>
      <c r="K32" s="27" t="n">
        <v>0.3</v>
      </c>
      <c r="L32" s="7" t="n">
        <v>2459</v>
      </c>
      <c r="M32" s="17" t="n">
        <f aca="false">J32/J$2</f>
        <v>0.00153572205872952</v>
      </c>
      <c r="N32" s="18" t="str">
        <f aca="false">IF(AND(ISNUMBER(D32),ISNUMBER(G32)),G32/D32,"")</f>
        <v/>
      </c>
    </row>
    <row r="33" customFormat="false" ht="15" hidden="false" customHeight="false" outlineLevel="0" collapsed="false">
      <c r="A33" s="5" t="s">
        <v>534</v>
      </c>
      <c r="B33" s="5" t="s">
        <v>505</v>
      </c>
      <c r="C33" s="5" t="s">
        <v>529</v>
      </c>
      <c r="G33" s="7" t="n">
        <v>7570</v>
      </c>
      <c r="H33" s="27" t="n">
        <v>1.1</v>
      </c>
      <c r="I33" s="7" t="n">
        <v>745</v>
      </c>
      <c r="J33" s="7" t="n">
        <v>7570</v>
      </c>
      <c r="K33" s="27" t="n">
        <v>1.1</v>
      </c>
      <c r="L33" s="7" t="n">
        <v>745</v>
      </c>
      <c r="M33" s="17" t="n">
        <f aca="false">J33/J$2</f>
        <v>0.00543751916958954</v>
      </c>
      <c r="N33" s="18" t="str">
        <f aca="false">IF(AND(ISNUMBER(D33),ISNUMBER(G33)),G33/D33,"")</f>
        <v/>
      </c>
    </row>
    <row r="34" customFormat="false" ht="15" hidden="false" customHeight="false" outlineLevel="0" collapsed="false">
      <c r="A34" s="5" t="s">
        <v>535</v>
      </c>
      <c r="B34" s="5" t="s">
        <v>505</v>
      </c>
      <c r="C34" s="5" t="s">
        <v>529</v>
      </c>
      <c r="G34" s="7" t="n">
        <v>313</v>
      </c>
      <c r="H34" s="27" t="n">
        <v>0</v>
      </c>
      <c r="I34" s="7" t="n">
        <v>30912</v>
      </c>
      <c r="J34" s="7" t="n">
        <v>313</v>
      </c>
      <c r="K34" s="27" t="n">
        <v>0</v>
      </c>
      <c r="L34" s="7" t="n">
        <v>30912</v>
      </c>
      <c r="M34" s="17" t="n">
        <f aca="false">J34/J$2</f>
        <v>0.000224827410843002</v>
      </c>
      <c r="N34" s="18" t="str">
        <f aca="false">IF(AND(ISNUMBER(D34),ISNUMBER(G34)),G34/D34,"")</f>
        <v/>
      </c>
    </row>
    <row r="35" customFormat="false" ht="15" hidden="false" customHeight="false" outlineLevel="0" collapsed="false">
      <c r="A35" s="5" t="s">
        <v>536</v>
      </c>
      <c r="B35" s="5" t="s">
        <v>505</v>
      </c>
      <c r="C35" s="5" t="s">
        <v>529</v>
      </c>
      <c r="D35" s="7" t="n">
        <v>41532</v>
      </c>
      <c r="E35" s="27" t="n">
        <v>5.7</v>
      </c>
      <c r="F35" s="7" t="n">
        <v>125</v>
      </c>
      <c r="J35" s="7" t="n">
        <v>41532</v>
      </c>
      <c r="K35" s="27" t="n">
        <v>5.7</v>
      </c>
      <c r="L35" s="7" t="n">
        <v>125</v>
      </c>
      <c r="M35" s="17" t="n">
        <f aca="false">J35/J$2</f>
        <v>0.0298323706937111</v>
      </c>
      <c r="N35" s="18" t="str">
        <f aca="false">IF(AND(ISNUMBER(D35),ISNUMBER(G35)),G35/D35,"")</f>
        <v/>
      </c>
    </row>
    <row r="36" customFormat="false" ht="15" hidden="false" customHeight="false" outlineLevel="0" collapsed="false">
      <c r="A36" s="5" t="s">
        <v>537</v>
      </c>
      <c r="B36" s="5" t="s">
        <v>505</v>
      </c>
      <c r="C36" s="5" t="s">
        <v>529</v>
      </c>
      <c r="D36" s="7" t="n">
        <v>4352</v>
      </c>
      <c r="E36" s="27" t="n">
        <v>0.6</v>
      </c>
      <c r="F36" s="7" t="n">
        <v>2095</v>
      </c>
      <c r="J36" s="7" t="n">
        <v>4352</v>
      </c>
      <c r="K36" s="27" t="n">
        <v>0.6</v>
      </c>
      <c r="L36" s="7" t="n">
        <v>2095</v>
      </c>
      <c r="M36" s="17" t="n">
        <f aca="false">J36/J$2</f>
        <v>0.00312603479868609</v>
      </c>
      <c r="N36" s="18" t="str">
        <f aca="false">IF(AND(ISNUMBER(D36),ISNUMBER(G36)),G36/D36,"")</f>
        <v/>
      </c>
    </row>
    <row r="37" customFormat="false" ht="15" hidden="false" customHeight="false" outlineLevel="0" collapsed="false">
      <c r="A37" s="5" t="s">
        <v>538</v>
      </c>
      <c r="B37" s="5" t="s">
        <v>505</v>
      </c>
      <c r="C37" s="5" t="s">
        <v>529</v>
      </c>
      <c r="D37" s="7" t="n">
        <v>6110</v>
      </c>
      <c r="E37" s="27" t="n">
        <v>0.8</v>
      </c>
      <c r="F37" s="7" t="n">
        <v>916</v>
      </c>
      <c r="J37" s="7" t="n">
        <v>6110</v>
      </c>
      <c r="K37" s="27" t="n">
        <v>0.8</v>
      </c>
      <c r="L37" s="7" t="n">
        <v>916</v>
      </c>
      <c r="M37" s="17" t="n">
        <f aca="false">J37/J$2</f>
        <v>0.00438880345128033</v>
      </c>
      <c r="N37" s="18" t="str">
        <f aca="false">IF(AND(ISNUMBER(D37),ISNUMBER(G37)),G37/D37,"")</f>
        <v/>
      </c>
    </row>
    <row r="38" customFormat="false" ht="15" hidden="false" customHeight="false" outlineLevel="0" collapsed="false">
      <c r="A38" s="9" t="s">
        <v>539</v>
      </c>
      <c r="B38" s="5" t="s">
        <v>6</v>
      </c>
      <c r="C38" s="5"/>
      <c r="D38" s="7" t="n">
        <v>33269</v>
      </c>
      <c r="E38" s="27" t="n">
        <v>4.6</v>
      </c>
      <c r="F38" s="7" t="n">
        <v>158</v>
      </c>
      <c r="G38" s="7" t="n">
        <v>11265</v>
      </c>
      <c r="H38" s="27" t="n">
        <v>1.6</v>
      </c>
      <c r="I38" s="7" t="n">
        <v>502</v>
      </c>
      <c r="J38" s="7" t="n">
        <v>44534</v>
      </c>
      <c r="K38" s="27" t="n">
        <v>3.2</v>
      </c>
      <c r="L38" s="7" t="n">
        <v>240</v>
      </c>
      <c r="M38" s="17" t="n">
        <f aca="false">J38/J$2</f>
        <v>0.0319887026021798</v>
      </c>
      <c r="N38" s="18" t="n">
        <f aca="false">IF(AND(ISNUMBER(D38),ISNUMBER(G38)),G38/D38,"")</f>
        <v>0.338603504764195</v>
      </c>
    </row>
    <row r="39" customFormat="false" ht="15" hidden="false" customHeight="false" outlineLevel="0" collapsed="false">
      <c r="A39" s="5" t="s">
        <v>540</v>
      </c>
      <c r="B39" s="5" t="s">
        <v>505</v>
      </c>
      <c r="C39" s="5" t="s">
        <v>539</v>
      </c>
      <c r="D39" s="7" t="n">
        <v>20470</v>
      </c>
      <c r="E39" s="27" t="n">
        <v>2.8</v>
      </c>
      <c r="F39" s="7" t="n">
        <v>250</v>
      </c>
      <c r="G39" s="7" t="n">
        <v>5403</v>
      </c>
      <c r="H39" s="27" t="n">
        <v>0.8</v>
      </c>
      <c r="I39" s="7" t="n">
        <v>1014</v>
      </c>
      <c r="J39" s="7" t="n">
        <v>25873</v>
      </c>
      <c r="K39" s="27" t="n">
        <v>1.8</v>
      </c>
      <c r="L39" s="7" t="n">
        <v>402</v>
      </c>
      <c r="M39" s="17" t="n">
        <f aca="false">J39/J$2</f>
        <v>0.0185845354656262</v>
      </c>
      <c r="N39" s="18" t="n">
        <f aca="false">IF(AND(ISNUMBER(D39),ISNUMBER(G39)),G39/D39,"")</f>
        <v>0.263947239863214</v>
      </c>
    </row>
    <row r="40" customFormat="false" ht="15" hidden="false" customHeight="false" outlineLevel="0" collapsed="false">
      <c r="A40" s="5" t="s">
        <v>541</v>
      </c>
      <c r="B40" s="5" t="s">
        <v>505</v>
      </c>
      <c r="C40" s="5" t="s">
        <v>539</v>
      </c>
      <c r="D40" s="7" t="n">
        <v>12363</v>
      </c>
      <c r="E40" s="27" t="n">
        <v>1.7</v>
      </c>
      <c r="F40" s="7" t="n">
        <v>442</v>
      </c>
      <c r="G40" s="7" t="n">
        <v>5657</v>
      </c>
      <c r="H40" s="27" t="n">
        <v>0.8</v>
      </c>
      <c r="I40" s="7" t="n">
        <v>1038</v>
      </c>
      <c r="J40" s="7" t="n">
        <v>18020</v>
      </c>
      <c r="K40" s="27" t="n">
        <v>1.3</v>
      </c>
      <c r="L40" s="7" t="n">
        <v>620</v>
      </c>
      <c r="M40" s="17" t="n">
        <f aca="false">J40/J$2</f>
        <v>0.0129437378383096</v>
      </c>
      <c r="N40" s="18" t="n">
        <f aca="false">IF(AND(ISNUMBER(D40),ISNUMBER(G40)),G40/D40,"")</f>
        <v>0.457575022243792</v>
      </c>
    </row>
    <row r="41" customFormat="false" ht="15" hidden="false" customHeight="false" outlineLevel="0" collapsed="false">
      <c r="A41" s="5" t="s">
        <v>542</v>
      </c>
      <c r="B41" s="5" t="s">
        <v>505</v>
      </c>
      <c r="C41" s="5" t="s">
        <v>539</v>
      </c>
      <c r="D41" s="7" t="n">
        <v>436</v>
      </c>
      <c r="E41" s="27" t="n">
        <v>0.1</v>
      </c>
      <c r="F41" s="7" t="n">
        <v>10843</v>
      </c>
      <c r="G41" s="7" t="n">
        <v>205</v>
      </c>
      <c r="H41" s="27" t="n">
        <v>0</v>
      </c>
      <c r="I41" s="7" t="n">
        <v>21892</v>
      </c>
      <c r="J41" s="7" t="n">
        <v>641</v>
      </c>
      <c r="K41" s="27" t="n">
        <v>0</v>
      </c>
      <c r="L41" s="7" t="n">
        <v>14531</v>
      </c>
      <c r="M41" s="17" t="n">
        <f aca="false">J41/J$2</f>
        <v>0.000460429298243976</v>
      </c>
      <c r="N41" s="18" t="n">
        <f aca="false">IF(AND(ISNUMBER(D41),ISNUMBER(G41)),G41/D41,"")</f>
        <v>0.470183486238532</v>
      </c>
    </row>
    <row r="42" customFormat="false" ht="15" hidden="false" customHeight="false" outlineLevel="0" collapsed="false">
      <c r="A42" s="9" t="s">
        <v>543</v>
      </c>
      <c r="B42" s="5" t="s">
        <v>6</v>
      </c>
      <c r="C42" s="5"/>
      <c r="D42" s="7" t="n">
        <v>1304</v>
      </c>
      <c r="E42" s="27" t="n">
        <v>0.2</v>
      </c>
      <c r="F42" s="7" t="n">
        <v>6870</v>
      </c>
      <c r="G42" s="7" t="n">
        <v>953</v>
      </c>
      <c r="H42" s="27" t="n">
        <v>0.1</v>
      </c>
      <c r="I42" s="7" t="n">
        <v>9063</v>
      </c>
      <c r="J42" s="7" t="n">
        <v>2257</v>
      </c>
      <c r="K42" s="27" t="n">
        <v>0.2</v>
      </c>
      <c r="L42" s="7" t="n">
        <v>7792</v>
      </c>
      <c r="M42" s="17" t="n">
        <f aca="false">J42/J$2</f>
        <v>0.00162119957275609</v>
      </c>
      <c r="N42" s="18" t="n">
        <f aca="false">IF(AND(ISNUMBER(D42),ISNUMBER(G42)),G42/D42,"")</f>
        <v>0.730828220858896</v>
      </c>
    </row>
    <row r="43" customFormat="false" ht="15" hidden="false" customHeight="false" outlineLevel="0" collapsed="false">
      <c r="A43" s="9" t="s">
        <v>544</v>
      </c>
      <c r="B43" s="5" t="s">
        <v>6</v>
      </c>
      <c r="C43" s="5"/>
      <c r="D43" s="7" t="n">
        <v>19979</v>
      </c>
      <c r="E43" s="27" t="n">
        <v>2.8</v>
      </c>
      <c r="F43" s="7" t="n">
        <v>341</v>
      </c>
      <c r="G43" s="7" t="n">
        <v>12750</v>
      </c>
      <c r="H43" s="27" t="n">
        <v>1.9</v>
      </c>
      <c r="I43" s="7" t="n">
        <v>546</v>
      </c>
      <c r="J43" s="7" t="n">
        <v>32729</v>
      </c>
      <c r="K43" s="27" t="n">
        <v>2.3</v>
      </c>
      <c r="L43" s="7" t="n">
        <v>419</v>
      </c>
      <c r="M43" s="17" t="n">
        <f aca="false">J43/J$2</f>
        <v>0.0235091895510563</v>
      </c>
      <c r="N43" s="18" t="n">
        <f aca="false">IF(AND(ISNUMBER(D43),ISNUMBER(G43)),G43/D43,"")</f>
        <v>0.638170078582512</v>
      </c>
    </row>
    <row r="44" customFormat="false" ht="15" hidden="false" customHeight="false" outlineLevel="0" collapsed="false">
      <c r="A44" s="9" t="s">
        <v>545</v>
      </c>
      <c r="B44" s="5" t="s">
        <v>6</v>
      </c>
      <c r="C44" s="5"/>
      <c r="D44" s="7" t="n">
        <v>9263</v>
      </c>
      <c r="E44" s="27" t="n">
        <v>1.3</v>
      </c>
      <c r="F44" s="7" t="n">
        <v>709</v>
      </c>
      <c r="G44" s="7" t="n">
        <v>26665</v>
      </c>
      <c r="H44" s="27" t="n">
        <v>3.9</v>
      </c>
      <c r="I44" s="7" t="n">
        <v>279</v>
      </c>
      <c r="J44" s="7" t="n">
        <v>35928</v>
      </c>
      <c r="K44" s="27" t="n">
        <v>2.5</v>
      </c>
      <c r="L44" s="7" t="n">
        <v>402</v>
      </c>
      <c r="M44" s="17" t="n">
        <f aca="false">J44/J$2</f>
        <v>0.025807026251653</v>
      </c>
      <c r="N44" s="18" t="n">
        <f aca="false">IF(AND(ISNUMBER(D44),ISNUMBER(G44)),G44/D44,"")</f>
        <v>2.87865702256288</v>
      </c>
    </row>
    <row r="45" customFormat="false" ht="15" hidden="false" customHeight="false" outlineLevel="0" collapsed="false">
      <c r="A45" s="5" t="s">
        <v>546</v>
      </c>
      <c r="B45" s="5" t="s">
        <v>505</v>
      </c>
      <c r="C45" s="5" t="s">
        <v>545</v>
      </c>
      <c r="D45" s="7" t="n">
        <v>8570</v>
      </c>
      <c r="E45" s="27" t="n">
        <v>1.2</v>
      </c>
      <c r="F45" s="7" t="n">
        <v>759</v>
      </c>
      <c r="G45" s="7" t="n">
        <v>26095</v>
      </c>
      <c r="H45" s="27" t="n">
        <v>3.8</v>
      </c>
      <c r="I45" s="7" t="n">
        <v>285</v>
      </c>
      <c r="J45" s="7" t="n">
        <v>34665</v>
      </c>
      <c r="K45" s="27" t="n">
        <v>2.5</v>
      </c>
      <c r="L45" s="7" t="n">
        <v>416</v>
      </c>
      <c r="M45" s="17" t="n">
        <f aca="false">J45/J$2</f>
        <v>0.0248998153254718</v>
      </c>
      <c r="N45" s="18" t="n">
        <f aca="false">IF(AND(ISNUMBER(D45),ISNUMBER(G45)),G45/D45,"")</f>
        <v>3.04492415402567</v>
      </c>
    </row>
    <row r="46" customFormat="false" ht="15" hidden="false" customHeight="false" outlineLevel="0" collapsed="false">
      <c r="A46" s="5" t="s">
        <v>547</v>
      </c>
      <c r="B46" s="5" t="s">
        <v>505</v>
      </c>
      <c r="C46" s="5" t="s">
        <v>545</v>
      </c>
      <c r="D46" s="7" t="n">
        <v>693</v>
      </c>
      <c r="E46" s="27" t="n">
        <v>0.1</v>
      </c>
      <c r="F46" s="7" t="n">
        <v>10797</v>
      </c>
      <c r="G46" s="7" t="n">
        <v>570</v>
      </c>
      <c r="H46" s="27" t="n">
        <v>0.1</v>
      </c>
      <c r="I46" s="7" t="n">
        <v>14053</v>
      </c>
      <c r="J46" s="7" t="n">
        <v>1263</v>
      </c>
      <c r="K46" s="27" t="n">
        <v>0.1</v>
      </c>
      <c r="L46" s="7" t="n">
        <v>12209</v>
      </c>
      <c r="M46" s="17" t="n">
        <f aca="false">J46/J$2</f>
        <v>0.000907210926181188</v>
      </c>
      <c r="N46" s="18" t="n">
        <f aca="false">IF(AND(ISNUMBER(D46),ISNUMBER(G46)),G46/D46,"")</f>
        <v>0.822510822510823</v>
      </c>
    </row>
    <row r="47" customFormat="false" ht="15" hidden="false" customHeight="false" outlineLevel="0" collapsed="false">
      <c r="A47" s="9" t="s">
        <v>548</v>
      </c>
      <c r="B47" s="5" t="s">
        <v>6</v>
      </c>
      <c r="C47" s="5"/>
      <c r="D47" s="7" t="n">
        <v>32695</v>
      </c>
      <c r="E47" s="27" t="n">
        <v>4.5</v>
      </c>
      <c r="F47" s="7" t="n">
        <v>197</v>
      </c>
      <c r="G47" s="7" t="n">
        <v>20247</v>
      </c>
      <c r="H47" s="27" t="n">
        <v>2.9</v>
      </c>
      <c r="I47" s="7" t="n">
        <v>296</v>
      </c>
      <c r="J47" s="7" t="n">
        <v>52942</v>
      </c>
      <c r="K47" s="27" t="n">
        <v>3.8</v>
      </c>
      <c r="L47" s="7" t="n">
        <v>236</v>
      </c>
      <c r="M47" s="17" t="n">
        <f aca="false">J47/J$2</f>
        <v>0.0380281558621413</v>
      </c>
      <c r="N47" s="18" t="n">
        <f aca="false">IF(AND(ISNUMBER(D47),ISNUMBER(G47)),G47/D47,"")</f>
        <v>0.619269001376357</v>
      </c>
    </row>
    <row r="48" customFormat="false" ht="15" hidden="false" customHeight="false" outlineLevel="0" collapsed="false">
      <c r="A48" s="5" t="s">
        <v>549</v>
      </c>
      <c r="B48" s="5" t="s">
        <v>505</v>
      </c>
      <c r="C48" s="5" t="s">
        <v>548</v>
      </c>
      <c r="D48" s="7" t="n">
        <v>7294</v>
      </c>
      <c r="E48" s="27" t="n">
        <v>1</v>
      </c>
      <c r="F48" s="7" t="n">
        <v>1150</v>
      </c>
      <c r="G48" s="7" t="n">
        <v>3936</v>
      </c>
      <c r="H48" s="27" t="n">
        <v>0.6</v>
      </c>
      <c r="I48" s="7" t="n">
        <v>1871</v>
      </c>
      <c r="J48" s="7" t="n">
        <v>11230</v>
      </c>
      <c r="K48" s="27" t="n">
        <v>0.8</v>
      </c>
      <c r="L48" s="7" t="n">
        <v>1418</v>
      </c>
      <c r="M48" s="17" t="n">
        <f aca="false">J48/J$2</f>
        <v>0.00806649144973455</v>
      </c>
      <c r="N48" s="18" t="n">
        <f aca="false">IF(AND(ISNUMBER(D48),ISNUMBER(G48)),G48/D48,"")</f>
        <v>0.53962160680011</v>
      </c>
    </row>
    <row r="49" customFormat="false" ht="15" hidden="false" customHeight="false" outlineLevel="0" collapsed="false">
      <c r="A49" s="5" t="s">
        <v>550</v>
      </c>
      <c r="B49" s="5" t="s">
        <v>505</v>
      </c>
      <c r="C49" s="5" t="s">
        <v>548</v>
      </c>
      <c r="D49" s="7" t="n">
        <v>25344</v>
      </c>
      <c r="E49" s="27" t="n">
        <v>3.5</v>
      </c>
      <c r="F49" s="7" t="n">
        <v>238</v>
      </c>
      <c r="G49" s="7" t="n">
        <v>16263</v>
      </c>
      <c r="H49" s="27" t="n">
        <v>2.4</v>
      </c>
      <c r="I49" s="7" t="n">
        <v>352</v>
      </c>
      <c r="J49" s="7" t="n">
        <v>41607</v>
      </c>
      <c r="K49" s="27" t="n">
        <v>3</v>
      </c>
      <c r="L49" s="7" t="n">
        <v>284</v>
      </c>
      <c r="M49" s="17" t="n">
        <f aca="false">J49/J$2</f>
        <v>0.0298862430765009</v>
      </c>
      <c r="N49" s="18" t="n">
        <f aca="false">IF(AND(ISNUMBER(D49),ISNUMBER(G49)),G49/D49,"")</f>
        <v>0.641690340909091</v>
      </c>
    </row>
    <row r="50" customFormat="false" ht="28.35" hidden="false" customHeight="false" outlineLevel="0" collapsed="false">
      <c r="A50" s="9" t="s">
        <v>551</v>
      </c>
      <c r="B50" s="5" t="s">
        <v>6</v>
      </c>
      <c r="C50" s="5"/>
      <c r="D50" s="7" t="n">
        <v>57</v>
      </c>
      <c r="E50" s="27" t="n">
        <v>0</v>
      </c>
      <c r="F50" s="7" t="n">
        <v>101774</v>
      </c>
      <c r="G50" s="7" t="n">
        <v>48</v>
      </c>
      <c r="H50" s="27" t="n">
        <v>0</v>
      </c>
      <c r="I50" s="7" t="n">
        <v>164355</v>
      </c>
      <c r="J50" s="7" t="n">
        <v>105</v>
      </c>
      <c r="K50" s="27" t="n">
        <v>0</v>
      </c>
      <c r="L50" s="7" t="n">
        <v>126050</v>
      </c>
      <c r="M50" s="17" t="n">
        <f aca="false">J50/J$2</f>
        <v>7.54213359057995E-005</v>
      </c>
      <c r="N50" s="18" t="n">
        <f aca="false">IF(AND(ISNUMBER(D50),ISNUMBER(G50)),G50/D50,"")</f>
        <v>0.842105263157895</v>
      </c>
    </row>
    <row r="51" customFormat="false" ht="15" hidden="false" customHeight="false" outlineLevel="0" collapsed="false">
      <c r="A51" s="9" t="s">
        <v>552</v>
      </c>
      <c r="B51" s="5" t="s">
        <v>6</v>
      </c>
      <c r="C51" s="5"/>
      <c r="D51" s="7" t="n">
        <v>10725</v>
      </c>
      <c r="E51" s="27" t="n">
        <v>1.5</v>
      </c>
      <c r="F51" s="7" t="n">
        <v>465</v>
      </c>
      <c r="G51" s="7" t="n">
        <v>7756</v>
      </c>
      <c r="H51" s="27" t="n">
        <v>1.1</v>
      </c>
      <c r="I51" s="7" t="n">
        <v>646</v>
      </c>
      <c r="J51" s="7" t="n">
        <v>18481</v>
      </c>
      <c r="K51" s="27" t="n">
        <v>1.3</v>
      </c>
      <c r="L51" s="7" t="n">
        <v>541</v>
      </c>
      <c r="M51" s="17" t="n">
        <f aca="false">J51/J$2</f>
        <v>0.0132748734178579</v>
      </c>
      <c r="N51" s="18" t="n">
        <f aca="false">IF(AND(ISNUMBER(D51),ISNUMBER(G51)),G51/D51,"")</f>
        <v>0.723170163170163</v>
      </c>
    </row>
    <row r="52" customFormat="false" ht="15" hidden="false" customHeight="false" outlineLevel="0" collapsed="false">
      <c r="A52" s="9" t="s">
        <v>553</v>
      </c>
      <c r="B52" s="5" t="s">
        <v>6</v>
      </c>
      <c r="C52" s="5"/>
      <c r="D52" s="7" t="n">
        <v>32481</v>
      </c>
      <c r="E52" s="27" t="n">
        <v>4.5</v>
      </c>
      <c r="F52" s="7" t="n">
        <v>239</v>
      </c>
      <c r="G52" s="7" t="n">
        <v>21132</v>
      </c>
      <c r="H52" s="27" t="n">
        <v>3.1</v>
      </c>
      <c r="I52" s="7" t="n">
        <v>353</v>
      </c>
      <c r="J52" s="7" t="n">
        <v>53613</v>
      </c>
      <c r="K52" s="27" t="n">
        <v>3.8</v>
      </c>
      <c r="L52" s="7" t="n">
        <v>284</v>
      </c>
      <c r="M52" s="17" t="n">
        <f aca="false">J52/J$2</f>
        <v>0.0385101341135012</v>
      </c>
      <c r="N52" s="18" t="n">
        <f aca="false">IF(AND(ISNUMBER(D52),ISNUMBER(G52)),G52/D52,"")</f>
        <v>0.650595732889997</v>
      </c>
    </row>
    <row r="53" customFormat="false" ht="15" hidden="false" customHeight="false" outlineLevel="0" collapsed="false">
      <c r="A53" s="5" t="s">
        <v>554</v>
      </c>
      <c r="B53" s="5" t="s">
        <v>505</v>
      </c>
      <c r="C53" s="5" t="s">
        <v>553</v>
      </c>
      <c r="D53" s="7" t="n">
        <v>14159</v>
      </c>
      <c r="E53" s="27" t="n">
        <v>2</v>
      </c>
      <c r="F53" s="7" t="n">
        <v>608</v>
      </c>
      <c r="G53" s="7" t="n">
        <v>7419</v>
      </c>
      <c r="H53" s="27" t="n">
        <v>1.1</v>
      </c>
      <c r="I53" s="7" t="n">
        <v>1138</v>
      </c>
      <c r="J53" s="7" t="n">
        <v>21578</v>
      </c>
      <c r="K53" s="27" t="n">
        <v>1.5</v>
      </c>
      <c r="L53" s="7" t="n">
        <v>789</v>
      </c>
      <c r="M53" s="17" t="n">
        <f aca="false">J53/J$2</f>
        <v>0.0154994436778604</v>
      </c>
      <c r="N53" s="18" t="n">
        <f aca="false">IF(AND(ISNUMBER(D53),ISNUMBER(G53)),G53/D53,"")</f>
        <v>0.523977682039692</v>
      </c>
    </row>
    <row r="54" customFormat="false" ht="15" hidden="false" customHeight="false" outlineLevel="0" collapsed="false">
      <c r="A54" s="5" t="s">
        <v>555</v>
      </c>
      <c r="B54" s="5" t="s">
        <v>505</v>
      </c>
      <c r="C54" s="5" t="s">
        <v>553</v>
      </c>
      <c r="D54" s="7" t="n">
        <v>14913</v>
      </c>
      <c r="E54" s="27" t="n">
        <v>2.1</v>
      </c>
      <c r="F54" s="7" t="n">
        <v>474</v>
      </c>
      <c r="G54" s="7" t="n">
        <v>11275</v>
      </c>
      <c r="H54" s="27" t="n">
        <v>1.6</v>
      </c>
      <c r="I54" s="7" t="n">
        <v>617</v>
      </c>
      <c r="J54" s="7" t="n">
        <v>26188</v>
      </c>
      <c r="K54" s="27" t="n">
        <v>1.9</v>
      </c>
      <c r="L54" s="7" t="n">
        <v>536</v>
      </c>
      <c r="M54" s="17" t="n">
        <f aca="false">J54/J$2</f>
        <v>0.0188107994733436</v>
      </c>
      <c r="N54" s="18" t="n">
        <f aca="false">IF(AND(ISNUMBER(D54),ISNUMBER(G54)),G54/D54,"")</f>
        <v>0.756051766914772</v>
      </c>
    </row>
    <row r="55" customFormat="false" ht="15" hidden="false" customHeight="false" outlineLevel="0" collapsed="false">
      <c r="A55" s="5" t="s">
        <v>556</v>
      </c>
      <c r="B55" s="5" t="s">
        <v>505</v>
      </c>
      <c r="C55" s="5" t="s">
        <v>553</v>
      </c>
      <c r="D55" s="7" t="n">
        <v>3409</v>
      </c>
      <c r="E55" s="27" t="n">
        <v>0.5</v>
      </c>
      <c r="F55" s="7" t="n">
        <v>2287</v>
      </c>
      <c r="G55" s="7" t="n">
        <v>2438</v>
      </c>
      <c r="H55" s="27" t="n">
        <v>0.4</v>
      </c>
      <c r="I55" s="7" t="n">
        <v>2980</v>
      </c>
      <c r="J55" s="7" t="n">
        <v>5847</v>
      </c>
      <c r="K55" s="27" t="n">
        <v>0.4</v>
      </c>
      <c r="L55" s="7" t="n">
        <v>2583</v>
      </c>
      <c r="M55" s="17" t="n">
        <f aca="false">J55/J$2</f>
        <v>0.00419989096229723</v>
      </c>
      <c r="N55" s="18" t="n">
        <f aca="false">IF(AND(ISNUMBER(D55),ISNUMBER(G55)),G55/D55,"")</f>
        <v>0.715165737753007</v>
      </c>
    </row>
    <row r="56" customFormat="false" ht="15" hidden="false" customHeight="false" outlineLevel="0" collapsed="false">
      <c r="A56" s="9" t="s">
        <v>557</v>
      </c>
      <c r="B56" s="5" t="s">
        <v>6</v>
      </c>
      <c r="C56" s="5"/>
      <c r="D56" s="7" t="n">
        <v>48554</v>
      </c>
      <c r="E56" s="27" t="n">
        <v>6.7</v>
      </c>
      <c r="F56" s="7" t="n">
        <v>114</v>
      </c>
      <c r="G56" s="7" t="n">
        <v>36976</v>
      </c>
      <c r="H56" s="27" t="n">
        <v>5.4</v>
      </c>
      <c r="I56" s="7" t="n">
        <v>153</v>
      </c>
      <c r="J56" s="7" t="n">
        <v>85530</v>
      </c>
      <c r="K56" s="27" t="n">
        <v>6.1</v>
      </c>
      <c r="L56" s="7" t="n">
        <v>131</v>
      </c>
      <c r="M56" s="17" t="n">
        <f aca="false">J56/J$2</f>
        <v>0.0614360653335527</v>
      </c>
      <c r="N56" s="18" t="n">
        <f aca="false">IF(AND(ISNUMBER(D56),ISNUMBER(G56)),G56/D56,"")</f>
        <v>0.761543848086666</v>
      </c>
    </row>
    <row r="58" customFormat="false" ht="45" hidden="false" customHeight="true" outlineLevel="0" collapsed="false">
      <c r="A58" s="26" t="s">
        <v>562</v>
      </c>
      <c r="B58" s="26"/>
      <c r="C58" s="26"/>
      <c r="D58" s="26"/>
      <c r="E58" s="26"/>
      <c r="F58" s="26"/>
      <c r="G58" s="26"/>
      <c r="H58" s="26"/>
    </row>
  </sheetData>
  <autoFilter ref="A1:N56"/>
  <mergeCells count="1">
    <mergeCell ref="A58:H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9"/>
    <col collapsed="false" customWidth="true" hidden="false" outlineLevel="0" max="3" min="3" style="0" width="7"/>
    <col collapsed="false" customWidth="true" hidden="false" outlineLevel="0" max="4" min="4" style="0" width="28"/>
    <col collapsed="false" customWidth="true" hidden="false" outlineLevel="0" max="5" min="5" style="0" width="16"/>
    <col collapsed="false" customWidth="true" hidden="false" outlineLevel="0" max="6" min="6" style="0" width="15"/>
    <col collapsed="false" customWidth="true" hidden="false" outlineLevel="0" max="7" min="7" style="0" width="16"/>
    <col collapsed="false" customWidth="true" hidden="false" outlineLevel="0" max="8" min="8" style="0" width="14"/>
    <col collapsed="false" customWidth="true" hidden="false" outlineLevel="0" max="9" min="9" style="0" width="12"/>
    <col collapsed="false" customWidth="true" hidden="false" outlineLevel="0" max="10" min="10" style="0" width="16"/>
  </cols>
  <sheetData>
    <row r="1" customFormat="false" ht="45" hidden="false" customHeight="true" outlineLevel="0" collapsed="false">
      <c r="A1" s="3" t="s">
        <v>563</v>
      </c>
      <c r="B1" s="3" t="s">
        <v>564</v>
      </c>
      <c r="C1" s="3" t="s">
        <v>565</v>
      </c>
      <c r="D1" s="3" t="s">
        <v>566</v>
      </c>
      <c r="E1" s="3" t="s">
        <v>567</v>
      </c>
      <c r="F1" s="3" t="s">
        <v>568</v>
      </c>
      <c r="G1" s="3" t="s">
        <v>569</v>
      </c>
      <c r="H1" s="8" t="s">
        <v>570</v>
      </c>
      <c r="I1" s="3" t="s">
        <v>571</v>
      </c>
      <c r="J1" s="8" t="s">
        <v>572</v>
      </c>
    </row>
    <row r="2" customFormat="false" ht="15" hidden="false" customHeight="false" outlineLevel="0" collapsed="false">
      <c r="A2" s="5" t="s">
        <v>573</v>
      </c>
      <c r="B2" s="5" t="s">
        <v>574</v>
      </c>
      <c r="C2" s="5" t="n">
        <v>1</v>
      </c>
      <c r="D2" s="5" t="s">
        <v>554</v>
      </c>
      <c r="E2" s="5" t="s">
        <v>575</v>
      </c>
      <c r="F2" s="7" t="n">
        <v>6233</v>
      </c>
      <c r="G2" s="27" t="n">
        <v>29.3</v>
      </c>
      <c r="H2" s="27" t="n">
        <f aca="false">F2/F$8*100</f>
        <v>29.2519241599399</v>
      </c>
      <c r="I2" s="5" t="s">
        <v>576</v>
      </c>
    </row>
    <row r="3" customFormat="false" ht="15" hidden="false" customHeight="false" outlineLevel="0" collapsed="false">
      <c r="A3" s="5" t="s">
        <v>573</v>
      </c>
      <c r="B3" s="5" t="s">
        <v>574</v>
      </c>
      <c r="C3" s="5" t="n">
        <v>2</v>
      </c>
      <c r="D3" s="5" t="s">
        <v>577</v>
      </c>
      <c r="E3" s="5" t="s">
        <v>578</v>
      </c>
      <c r="F3" s="7" t="n">
        <v>2643</v>
      </c>
      <c r="G3" s="27" t="n">
        <v>12.4</v>
      </c>
      <c r="H3" s="27" t="n">
        <f aca="false">F3/F$8*100</f>
        <v>12.4037920030036</v>
      </c>
      <c r="I3" s="5" t="s">
        <v>576</v>
      </c>
    </row>
    <row r="4" customFormat="false" ht="15" hidden="false" customHeight="false" outlineLevel="0" collapsed="false">
      <c r="A4" s="5" t="s">
        <v>573</v>
      </c>
      <c r="B4" s="5" t="s">
        <v>574</v>
      </c>
      <c r="C4" s="5" t="n">
        <v>3</v>
      </c>
      <c r="D4" s="5" t="s">
        <v>579</v>
      </c>
      <c r="E4" s="5" t="s">
        <v>580</v>
      </c>
      <c r="F4" s="7" t="n">
        <v>1679</v>
      </c>
      <c r="G4" s="27" t="n">
        <v>7.9</v>
      </c>
      <c r="H4" s="27" t="n">
        <f aca="false">F4/F$8*100</f>
        <v>7.8796696076591</v>
      </c>
      <c r="I4" s="5" t="s">
        <v>576</v>
      </c>
    </row>
    <row r="5" customFormat="false" ht="15" hidden="false" customHeight="false" outlineLevel="0" collapsed="false">
      <c r="A5" s="5" t="s">
        <v>573</v>
      </c>
      <c r="B5" s="5" t="s">
        <v>574</v>
      </c>
      <c r="C5" s="5" t="n">
        <v>4</v>
      </c>
      <c r="D5" s="5" t="s">
        <v>581</v>
      </c>
      <c r="E5" s="5" t="s">
        <v>582</v>
      </c>
      <c r="F5" s="7" t="n">
        <v>1513</v>
      </c>
      <c r="G5" s="27" t="n">
        <v>7.1</v>
      </c>
      <c r="H5" s="27" t="n">
        <f aca="false">F5/F$8*100</f>
        <v>7.1006194856392</v>
      </c>
      <c r="I5" s="5" t="s">
        <v>576</v>
      </c>
    </row>
    <row r="6" customFormat="false" ht="15" hidden="false" customHeight="false" outlineLevel="0" collapsed="false">
      <c r="A6" s="5" t="s">
        <v>573</v>
      </c>
      <c r="B6" s="5" t="s">
        <v>574</v>
      </c>
      <c r="C6" s="5" t="n">
        <v>5</v>
      </c>
      <c r="D6" s="5" t="s">
        <v>555</v>
      </c>
      <c r="E6" s="5" t="s">
        <v>583</v>
      </c>
      <c r="F6" s="7" t="n">
        <v>1498</v>
      </c>
      <c r="G6" s="27" t="n">
        <v>7</v>
      </c>
      <c r="H6" s="27" t="n">
        <f aca="false">F6/F$8*100</f>
        <v>7.03022339027595</v>
      </c>
      <c r="I6" s="5" t="s">
        <v>576</v>
      </c>
    </row>
    <row r="7" customFormat="false" ht="15" hidden="false" customHeight="false" outlineLevel="0" collapsed="false">
      <c r="A7" s="5" t="s">
        <v>573</v>
      </c>
      <c r="B7" s="5" t="s">
        <v>574</v>
      </c>
      <c r="D7" s="5" t="s">
        <v>584</v>
      </c>
      <c r="F7" s="7" t="n">
        <v>7742</v>
      </c>
      <c r="G7" s="27" t="n">
        <v>36.3</v>
      </c>
      <c r="H7" s="27" t="n">
        <f aca="false">F7/F$8*100</f>
        <v>36.3337713534823</v>
      </c>
      <c r="I7" s="5" t="s">
        <v>585</v>
      </c>
    </row>
    <row r="8" customFormat="false" ht="15" hidden="false" customHeight="false" outlineLevel="0" collapsed="false">
      <c r="A8" s="9" t="s">
        <v>573</v>
      </c>
      <c r="B8" s="9" t="s">
        <v>574</v>
      </c>
      <c r="D8" s="9" t="s">
        <v>501</v>
      </c>
      <c r="F8" s="29" t="n">
        <v>21308</v>
      </c>
      <c r="G8" s="30" t="n">
        <v>100</v>
      </c>
      <c r="H8" s="27" t="n">
        <f aca="false">F8/F$8*100</f>
        <v>100</v>
      </c>
      <c r="I8" s="9" t="s">
        <v>502</v>
      </c>
      <c r="J8" s="7" t="n">
        <f aca="false">SUM(F2:F7)-F8</f>
        <v>0</v>
      </c>
    </row>
    <row r="9" customFormat="false" ht="15" hidden="false" customHeight="false" outlineLevel="0" collapsed="false">
      <c r="A9" s="5" t="s">
        <v>573</v>
      </c>
      <c r="B9" s="5" t="s">
        <v>586</v>
      </c>
      <c r="C9" s="5" t="n">
        <v>1</v>
      </c>
      <c r="D9" s="5" t="s">
        <v>554</v>
      </c>
      <c r="E9" s="5" t="s">
        <v>575</v>
      </c>
      <c r="F9" s="7" t="n">
        <v>3328</v>
      </c>
      <c r="G9" s="27" t="n">
        <v>24.3</v>
      </c>
      <c r="H9" s="27" t="n">
        <f aca="false">F9/F$15*100</f>
        <v>24.2760230505507</v>
      </c>
      <c r="I9" s="5" t="s">
        <v>576</v>
      </c>
    </row>
    <row r="10" customFormat="false" ht="15" hidden="false" customHeight="false" outlineLevel="0" collapsed="false">
      <c r="A10" s="5" t="s">
        <v>573</v>
      </c>
      <c r="B10" s="5" t="s">
        <v>586</v>
      </c>
      <c r="C10" s="5" t="n">
        <v>2</v>
      </c>
      <c r="D10" s="5" t="s">
        <v>577</v>
      </c>
      <c r="E10" s="5" t="s">
        <v>578</v>
      </c>
      <c r="F10" s="7" t="n">
        <v>1956</v>
      </c>
      <c r="G10" s="27" t="n">
        <v>14.3</v>
      </c>
      <c r="H10" s="27" t="n">
        <f aca="false">F10/F$15*100</f>
        <v>14.2679991246626</v>
      </c>
      <c r="I10" s="5" t="s">
        <v>576</v>
      </c>
    </row>
    <row r="11" customFormat="false" ht="15" hidden="false" customHeight="false" outlineLevel="0" collapsed="false">
      <c r="A11" s="5" t="s">
        <v>573</v>
      </c>
      <c r="B11" s="5" t="s">
        <v>586</v>
      </c>
      <c r="C11" s="5" t="n">
        <v>3</v>
      </c>
      <c r="D11" s="5" t="s">
        <v>587</v>
      </c>
      <c r="E11" s="5" t="s">
        <v>588</v>
      </c>
      <c r="F11" s="7" t="n">
        <v>1140</v>
      </c>
      <c r="G11" s="27" t="n">
        <v>8.3</v>
      </c>
      <c r="H11" s="27" t="n">
        <f aca="false">F11/F$15*100</f>
        <v>8.31570501130644</v>
      </c>
      <c r="I11" s="5" t="s">
        <v>576</v>
      </c>
    </row>
    <row r="12" customFormat="false" ht="15" hidden="false" customHeight="false" outlineLevel="0" collapsed="false">
      <c r="A12" s="5" t="s">
        <v>573</v>
      </c>
      <c r="B12" s="5" t="s">
        <v>586</v>
      </c>
      <c r="C12" s="5" t="n">
        <v>4</v>
      </c>
      <c r="D12" s="5" t="s">
        <v>555</v>
      </c>
      <c r="E12" s="5" t="s">
        <v>583</v>
      </c>
      <c r="F12" s="7" t="n">
        <v>1099</v>
      </c>
      <c r="G12" s="27" t="n">
        <v>8</v>
      </c>
      <c r="H12" s="27" t="n">
        <f aca="false">F12/F$15*100</f>
        <v>8.01663141002261</v>
      </c>
      <c r="I12" s="5" t="s">
        <v>576</v>
      </c>
    </row>
    <row r="13" customFormat="false" ht="15" hidden="false" customHeight="false" outlineLevel="0" collapsed="false">
      <c r="A13" s="5" t="s">
        <v>573</v>
      </c>
      <c r="B13" s="5" t="s">
        <v>586</v>
      </c>
      <c r="C13" s="5" t="n">
        <v>5</v>
      </c>
      <c r="D13" s="5" t="s">
        <v>579</v>
      </c>
      <c r="E13" s="5" t="s">
        <v>580</v>
      </c>
      <c r="F13" s="7" t="n">
        <v>783</v>
      </c>
      <c r="G13" s="27" t="n">
        <v>5.7</v>
      </c>
      <c r="H13" s="27" t="n">
        <f aca="false">F13/F$15*100</f>
        <v>5.71157633671311</v>
      </c>
      <c r="I13" s="5" t="s">
        <v>576</v>
      </c>
    </row>
    <row r="14" customFormat="false" ht="15" hidden="false" customHeight="false" outlineLevel="0" collapsed="false">
      <c r="A14" s="5" t="s">
        <v>573</v>
      </c>
      <c r="B14" s="5" t="s">
        <v>586</v>
      </c>
      <c r="D14" s="5" t="s">
        <v>584</v>
      </c>
      <c r="F14" s="7" t="n">
        <v>5403</v>
      </c>
      <c r="G14" s="27" t="n">
        <v>39.4</v>
      </c>
      <c r="H14" s="27" t="n">
        <f aca="false">F14/F$15*100</f>
        <v>39.4120650667445</v>
      </c>
      <c r="I14" s="5" t="s">
        <v>585</v>
      </c>
    </row>
    <row r="15" customFormat="false" ht="15" hidden="false" customHeight="false" outlineLevel="0" collapsed="false">
      <c r="A15" s="9" t="s">
        <v>573</v>
      </c>
      <c r="B15" s="9" t="s">
        <v>586</v>
      </c>
      <c r="D15" s="9" t="s">
        <v>501</v>
      </c>
      <c r="F15" s="29" t="n">
        <v>13709</v>
      </c>
      <c r="G15" s="30" t="n">
        <v>100</v>
      </c>
      <c r="H15" s="27" t="n">
        <f aca="false">F15/F$15*100</f>
        <v>100</v>
      </c>
      <c r="I15" s="9" t="s">
        <v>502</v>
      </c>
      <c r="J15" s="7" t="n">
        <f aca="false">SUM(F9:F14)-F15</f>
        <v>0</v>
      </c>
    </row>
    <row r="16" customFormat="false" ht="15" hidden="false" customHeight="false" outlineLevel="0" collapsed="false">
      <c r="A16" s="5" t="s">
        <v>589</v>
      </c>
      <c r="B16" s="5" t="s">
        <v>574</v>
      </c>
      <c r="C16" s="5" t="n">
        <v>1</v>
      </c>
      <c r="D16" s="5" t="s">
        <v>506</v>
      </c>
      <c r="E16" s="5" t="s">
        <v>590</v>
      </c>
      <c r="F16" s="7" t="n">
        <v>9013</v>
      </c>
      <c r="G16" s="27" t="n">
        <v>12</v>
      </c>
      <c r="H16" s="27" t="n">
        <f aca="false">F16/F$22*100</f>
        <v>12.0378779784165</v>
      </c>
      <c r="I16" s="5" t="s">
        <v>576</v>
      </c>
    </row>
    <row r="17" customFormat="false" ht="15" hidden="false" customHeight="false" outlineLevel="0" collapsed="false">
      <c r="A17" s="5" t="s">
        <v>589</v>
      </c>
      <c r="B17" s="5" t="s">
        <v>574</v>
      </c>
      <c r="C17" s="5" t="n">
        <v>2</v>
      </c>
      <c r="D17" s="5" t="s">
        <v>504</v>
      </c>
      <c r="E17" s="5" t="s">
        <v>591</v>
      </c>
      <c r="F17" s="7" t="n">
        <v>6597</v>
      </c>
      <c r="G17" s="27" t="n">
        <v>8.8</v>
      </c>
      <c r="H17" s="27" t="n">
        <f aca="false">F17/F$22*100</f>
        <v>8.81103750400684</v>
      </c>
      <c r="I17" s="5" t="s">
        <v>576</v>
      </c>
    </row>
    <row r="18" customFormat="false" ht="15" hidden="false" customHeight="false" outlineLevel="0" collapsed="false">
      <c r="A18" s="5" t="s">
        <v>589</v>
      </c>
      <c r="B18" s="5" t="s">
        <v>574</v>
      </c>
      <c r="C18" s="5" t="n">
        <v>3</v>
      </c>
      <c r="D18" s="5" t="s">
        <v>577</v>
      </c>
      <c r="E18" s="5" t="s">
        <v>578</v>
      </c>
      <c r="F18" s="7" t="n">
        <v>5230</v>
      </c>
      <c r="G18" s="27" t="n">
        <v>7</v>
      </c>
      <c r="H18" s="27" t="n">
        <f aca="false">F18/F$22*100</f>
        <v>6.98525483491826</v>
      </c>
      <c r="I18" s="5" t="s">
        <v>576</v>
      </c>
    </row>
    <row r="19" customFormat="false" ht="15" hidden="false" customHeight="false" outlineLevel="0" collapsed="false">
      <c r="A19" s="5" t="s">
        <v>589</v>
      </c>
      <c r="B19" s="5" t="s">
        <v>574</v>
      </c>
      <c r="C19" s="5" t="n">
        <v>4</v>
      </c>
      <c r="D19" s="5" t="s">
        <v>555</v>
      </c>
      <c r="E19" s="5" t="s">
        <v>583</v>
      </c>
      <c r="F19" s="7" t="n">
        <v>4881</v>
      </c>
      <c r="G19" s="27" t="n">
        <v>6.5</v>
      </c>
      <c r="H19" s="27" t="n">
        <f aca="false">F19/F$22*100</f>
        <v>6.51912597499733</v>
      </c>
      <c r="I19" s="5" t="s">
        <v>576</v>
      </c>
    </row>
    <row r="20" customFormat="false" ht="15" hidden="false" customHeight="false" outlineLevel="0" collapsed="false">
      <c r="A20" s="5" t="s">
        <v>589</v>
      </c>
      <c r="B20" s="5" t="s">
        <v>574</v>
      </c>
      <c r="C20" s="5" t="n">
        <v>5</v>
      </c>
      <c r="D20" s="5" t="s">
        <v>579</v>
      </c>
      <c r="E20" s="5" t="s">
        <v>580</v>
      </c>
      <c r="F20" s="7" t="n">
        <v>4444</v>
      </c>
      <c r="G20" s="27" t="n">
        <v>5.9</v>
      </c>
      <c r="H20" s="27" t="n">
        <f aca="false">F20/F$22*100</f>
        <v>5.93546319051181</v>
      </c>
      <c r="I20" s="5" t="s">
        <v>576</v>
      </c>
    </row>
    <row r="21" customFormat="false" ht="15" hidden="false" customHeight="false" outlineLevel="0" collapsed="false">
      <c r="A21" s="5" t="s">
        <v>589</v>
      </c>
      <c r="B21" s="5" t="s">
        <v>574</v>
      </c>
      <c r="D21" s="5" t="s">
        <v>584</v>
      </c>
      <c r="F21" s="7" t="n">
        <v>44707</v>
      </c>
      <c r="G21" s="27" t="n">
        <v>59.7</v>
      </c>
      <c r="H21" s="27" t="n">
        <f aca="false">F21/F$22*100</f>
        <v>59.7112405171493</v>
      </c>
      <c r="I21" s="5" t="s">
        <v>585</v>
      </c>
    </row>
    <row r="22" customFormat="false" ht="15" hidden="false" customHeight="false" outlineLevel="0" collapsed="false">
      <c r="A22" s="9" t="s">
        <v>589</v>
      </c>
      <c r="B22" s="9" t="s">
        <v>574</v>
      </c>
      <c r="D22" s="9" t="s">
        <v>501</v>
      </c>
      <c r="F22" s="29" t="n">
        <v>74872</v>
      </c>
      <c r="G22" s="30" t="n">
        <v>100</v>
      </c>
      <c r="H22" s="27" t="n">
        <f aca="false">F22/F$22*100</f>
        <v>100</v>
      </c>
      <c r="I22" s="9" t="s">
        <v>502</v>
      </c>
      <c r="J22" s="7" t="n">
        <f aca="false">SUM(F16:F21)-F22</f>
        <v>0</v>
      </c>
    </row>
    <row r="23" customFormat="false" ht="15" hidden="false" customHeight="false" outlineLevel="0" collapsed="false">
      <c r="A23" s="5" t="s">
        <v>589</v>
      </c>
      <c r="B23" s="5" t="s">
        <v>586</v>
      </c>
      <c r="C23" s="5" t="n">
        <v>1</v>
      </c>
      <c r="D23" s="5" t="s">
        <v>528</v>
      </c>
      <c r="E23" s="5" t="s">
        <v>592</v>
      </c>
      <c r="F23" s="7" t="n">
        <v>25710</v>
      </c>
      <c r="G23" s="27" t="n">
        <v>27.3</v>
      </c>
      <c r="H23" s="27" t="n">
        <f aca="false">F23/F$29*100</f>
        <v>27.3028481617569</v>
      </c>
      <c r="I23" s="5" t="s">
        <v>576</v>
      </c>
    </row>
    <row r="24" customFormat="false" ht="15" hidden="false" customHeight="false" outlineLevel="0" collapsed="false">
      <c r="A24" s="5" t="s">
        <v>589</v>
      </c>
      <c r="B24" s="5" t="s">
        <v>586</v>
      </c>
      <c r="C24" s="5" t="n">
        <v>2</v>
      </c>
      <c r="D24" s="5" t="s">
        <v>546</v>
      </c>
      <c r="E24" s="5" t="s">
        <v>593</v>
      </c>
      <c r="F24" s="7" t="n">
        <v>11453</v>
      </c>
      <c r="G24" s="27" t="n">
        <v>12.2</v>
      </c>
      <c r="H24" s="27" t="n">
        <f aca="false">F24/F$29*100</f>
        <v>12.1625639827539</v>
      </c>
      <c r="I24" s="5" t="s">
        <v>576</v>
      </c>
    </row>
    <row r="25" customFormat="false" ht="15" hidden="false" customHeight="false" outlineLevel="0" collapsed="false">
      <c r="A25" s="5" t="s">
        <v>589</v>
      </c>
      <c r="B25" s="5" t="s">
        <v>586</v>
      </c>
      <c r="C25" s="5" t="n">
        <v>3</v>
      </c>
      <c r="D25" s="5" t="s">
        <v>532</v>
      </c>
      <c r="E25" s="5" t="s">
        <v>594</v>
      </c>
      <c r="F25" s="7" t="n">
        <v>6877</v>
      </c>
      <c r="G25" s="27" t="n">
        <v>7.3</v>
      </c>
      <c r="H25" s="27" t="n">
        <f aca="false">F25/F$29*100</f>
        <v>7.30306055264108</v>
      </c>
      <c r="I25" s="5" t="s">
        <v>576</v>
      </c>
    </row>
    <row r="26" customFormat="false" ht="15" hidden="false" customHeight="false" outlineLevel="0" collapsed="false">
      <c r="A26" s="5" t="s">
        <v>589</v>
      </c>
      <c r="B26" s="5" t="s">
        <v>586</v>
      </c>
      <c r="C26" s="5" t="n">
        <v>4</v>
      </c>
      <c r="D26" s="5" t="s">
        <v>595</v>
      </c>
      <c r="E26" s="5" t="s">
        <v>596</v>
      </c>
      <c r="F26" s="7" t="n">
        <v>6714</v>
      </c>
      <c r="G26" s="27" t="n">
        <v>7.1</v>
      </c>
      <c r="H26" s="27" t="n">
        <f aca="false">F26/F$29*100</f>
        <v>7.12996198203173</v>
      </c>
      <c r="I26" s="5" t="s">
        <v>576</v>
      </c>
    </row>
    <row r="27" customFormat="false" ht="15" hidden="false" customHeight="false" outlineLevel="0" collapsed="false">
      <c r="A27" s="5" t="s">
        <v>589</v>
      </c>
      <c r="B27" s="5" t="s">
        <v>586</v>
      </c>
      <c r="C27" s="5" t="n">
        <v>5</v>
      </c>
      <c r="D27" s="5" t="s">
        <v>555</v>
      </c>
      <c r="E27" s="5" t="s">
        <v>583</v>
      </c>
      <c r="F27" s="7" t="n">
        <v>3503</v>
      </c>
      <c r="G27" s="27" t="n">
        <v>3.7</v>
      </c>
      <c r="H27" s="27" t="n">
        <f aca="false">F27/F$29*100</f>
        <v>3.72002633646964</v>
      </c>
      <c r="I27" s="5" t="s">
        <v>576</v>
      </c>
    </row>
    <row r="28" customFormat="false" ht="15" hidden="false" customHeight="false" outlineLevel="0" collapsed="false">
      <c r="A28" s="5" t="s">
        <v>589</v>
      </c>
      <c r="B28" s="5" t="s">
        <v>586</v>
      </c>
      <c r="D28" s="5" t="s">
        <v>584</v>
      </c>
      <c r="F28" s="7" t="n">
        <v>39909</v>
      </c>
      <c r="G28" s="27" t="n">
        <v>42.4</v>
      </c>
      <c r="H28" s="27" t="n">
        <f aca="false">F28/F$29*100</f>
        <v>42.3815389843468</v>
      </c>
      <c r="I28" s="5" t="s">
        <v>585</v>
      </c>
    </row>
    <row r="29" customFormat="false" ht="15" hidden="false" customHeight="false" outlineLevel="0" collapsed="false">
      <c r="A29" s="9" t="s">
        <v>589</v>
      </c>
      <c r="B29" s="9" t="s">
        <v>586</v>
      </c>
      <c r="D29" s="9" t="s">
        <v>501</v>
      </c>
      <c r="F29" s="29" t="n">
        <v>94166</v>
      </c>
      <c r="G29" s="30" t="n">
        <v>100</v>
      </c>
      <c r="H29" s="27" t="n">
        <f aca="false">F29/F$29*100</f>
        <v>100</v>
      </c>
      <c r="I29" s="9" t="s">
        <v>502</v>
      </c>
      <c r="J29" s="7" t="n">
        <f aca="false">SUM(F23:F28)-F29</f>
        <v>0</v>
      </c>
    </row>
    <row r="30" customFormat="false" ht="15" hidden="false" customHeight="false" outlineLevel="0" collapsed="false">
      <c r="A30" s="5" t="s">
        <v>597</v>
      </c>
      <c r="B30" s="5" t="s">
        <v>574</v>
      </c>
      <c r="C30" s="5" t="n">
        <v>1</v>
      </c>
      <c r="D30" s="5" t="s">
        <v>598</v>
      </c>
      <c r="E30" s="5" t="s">
        <v>599</v>
      </c>
      <c r="F30" s="7" t="n">
        <v>37376</v>
      </c>
      <c r="G30" s="27" t="n">
        <v>11</v>
      </c>
      <c r="H30" s="27" t="n">
        <f aca="false">F30/F$36*100</f>
        <v>10.9533159452569</v>
      </c>
      <c r="I30" s="5" t="s">
        <v>576</v>
      </c>
    </row>
    <row r="31" customFormat="false" ht="15" hidden="false" customHeight="false" outlineLevel="0" collapsed="false">
      <c r="A31" s="5" t="s">
        <v>597</v>
      </c>
      <c r="B31" s="5" t="s">
        <v>574</v>
      </c>
      <c r="C31" s="5" t="n">
        <v>2</v>
      </c>
      <c r="D31" s="5" t="s">
        <v>506</v>
      </c>
      <c r="E31" s="5" t="s">
        <v>590</v>
      </c>
      <c r="F31" s="7" t="n">
        <v>37067</v>
      </c>
      <c r="G31" s="27" t="n">
        <v>10.9</v>
      </c>
      <c r="H31" s="27" t="n">
        <f aca="false">F31/F$36*100</f>
        <v>10.8627611874689</v>
      </c>
      <c r="I31" s="5" t="s">
        <v>576</v>
      </c>
    </row>
    <row r="32" customFormat="false" ht="15" hidden="false" customHeight="false" outlineLevel="0" collapsed="false">
      <c r="A32" s="5" t="s">
        <v>597</v>
      </c>
      <c r="B32" s="5" t="s">
        <v>574</v>
      </c>
      <c r="C32" s="5" t="n">
        <v>3</v>
      </c>
      <c r="D32" s="5" t="s">
        <v>504</v>
      </c>
      <c r="E32" s="5" t="s">
        <v>591</v>
      </c>
      <c r="F32" s="7" t="n">
        <v>24951</v>
      </c>
      <c r="G32" s="27" t="n">
        <v>7.3</v>
      </c>
      <c r="H32" s="27" t="n">
        <f aca="false">F32/F$36*100</f>
        <v>7.31207689827975</v>
      </c>
      <c r="I32" s="5" t="s">
        <v>576</v>
      </c>
    </row>
    <row r="33" customFormat="false" ht="15" hidden="false" customHeight="false" outlineLevel="0" collapsed="false">
      <c r="A33" s="5" t="s">
        <v>597</v>
      </c>
      <c r="B33" s="5" t="s">
        <v>574</v>
      </c>
      <c r="C33" s="5" t="n">
        <v>4</v>
      </c>
      <c r="D33" s="5" t="s">
        <v>510</v>
      </c>
      <c r="E33" s="5" t="s">
        <v>600</v>
      </c>
      <c r="F33" s="7" t="n">
        <v>18390</v>
      </c>
      <c r="G33" s="27" t="n">
        <v>5.4</v>
      </c>
      <c r="H33" s="27" t="n">
        <f aca="false">F33/F$36*100</f>
        <v>5.3893268469947</v>
      </c>
      <c r="I33" s="5" t="s">
        <v>576</v>
      </c>
    </row>
    <row r="34" customFormat="false" ht="15" hidden="false" customHeight="false" outlineLevel="0" collapsed="false">
      <c r="A34" s="5" t="s">
        <v>597</v>
      </c>
      <c r="B34" s="5" t="s">
        <v>574</v>
      </c>
      <c r="C34" s="5" t="n">
        <v>5</v>
      </c>
      <c r="D34" s="5" t="s">
        <v>511</v>
      </c>
      <c r="E34" s="5" t="s">
        <v>601</v>
      </c>
      <c r="F34" s="7" t="n">
        <v>17741</v>
      </c>
      <c r="G34" s="27" t="n">
        <v>5.2</v>
      </c>
      <c r="H34" s="27" t="n">
        <f aca="false">F34/F$36*100</f>
        <v>5.19913254989303</v>
      </c>
      <c r="I34" s="5" t="s">
        <v>576</v>
      </c>
    </row>
    <row r="35" customFormat="false" ht="15" hidden="false" customHeight="false" outlineLevel="0" collapsed="false">
      <c r="A35" s="5" t="s">
        <v>597</v>
      </c>
      <c r="B35" s="5" t="s">
        <v>574</v>
      </c>
      <c r="D35" s="5" t="s">
        <v>584</v>
      </c>
      <c r="F35" s="7" t="n">
        <v>205705</v>
      </c>
      <c r="G35" s="27" t="n">
        <v>60.3</v>
      </c>
      <c r="H35" s="27" t="n">
        <f aca="false">F35/F$36*100</f>
        <v>60.2833865721068</v>
      </c>
      <c r="I35" s="5" t="s">
        <v>585</v>
      </c>
    </row>
    <row r="36" customFormat="false" ht="15" hidden="false" customHeight="false" outlineLevel="0" collapsed="false">
      <c r="A36" s="9" t="s">
        <v>597</v>
      </c>
      <c r="B36" s="9" t="s">
        <v>574</v>
      </c>
      <c r="D36" s="9" t="s">
        <v>501</v>
      </c>
      <c r="F36" s="29" t="n">
        <v>341230</v>
      </c>
      <c r="G36" s="30" t="n">
        <v>100</v>
      </c>
      <c r="H36" s="27" t="n">
        <f aca="false">F36/F$36*100</f>
        <v>100</v>
      </c>
      <c r="I36" s="9" t="s">
        <v>502</v>
      </c>
      <c r="J36" s="7" t="n">
        <f aca="false">SUM(F30:F35)-F36</f>
        <v>0</v>
      </c>
    </row>
    <row r="37" customFormat="false" ht="15" hidden="false" customHeight="false" outlineLevel="0" collapsed="false">
      <c r="A37" s="5" t="s">
        <v>597</v>
      </c>
      <c r="B37" s="5" t="s">
        <v>586</v>
      </c>
      <c r="C37" s="5" t="n">
        <v>1</v>
      </c>
      <c r="D37" s="5" t="s">
        <v>528</v>
      </c>
      <c r="E37" s="5" t="s">
        <v>592</v>
      </c>
      <c r="F37" s="7" t="n">
        <v>140384</v>
      </c>
      <c r="G37" s="27" t="n">
        <v>33</v>
      </c>
      <c r="H37" s="27" t="n">
        <f aca="false">F37/F$43*100</f>
        <v>32.9603350879747</v>
      </c>
      <c r="I37" s="5" t="s">
        <v>576</v>
      </c>
    </row>
    <row r="38" customFormat="false" ht="15" hidden="false" customHeight="false" outlineLevel="0" collapsed="false">
      <c r="A38" s="5" t="s">
        <v>597</v>
      </c>
      <c r="B38" s="5" t="s">
        <v>586</v>
      </c>
      <c r="C38" s="5" t="n">
        <v>2</v>
      </c>
      <c r="D38" s="5" t="s">
        <v>595</v>
      </c>
      <c r="E38" s="5" t="s">
        <v>596</v>
      </c>
      <c r="F38" s="7" t="n">
        <v>52560</v>
      </c>
      <c r="G38" s="27" t="n">
        <v>12.3</v>
      </c>
      <c r="H38" s="27" t="n">
        <f aca="false">F38/F$43*100</f>
        <v>12.3404035518574</v>
      </c>
      <c r="I38" s="5" t="s">
        <v>576</v>
      </c>
    </row>
    <row r="39" customFormat="false" ht="15" hidden="false" customHeight="false" outlineLevel="0" collapsed="false">
      <c r="A39" s="5" t="s">
        <v>597</v>
      </c>
      <c r="B39" s="5" t="s">
        <v>586</v>
      </c>
      <c r="C39" s="5" t="n">
        <v>3</v>
      </c>
      <c r="D39" s="5" t="s">
        <v>532</v>
      </c>
      <c r="E39" s="5" t="s">
        <v>594</v>
      </c>
      <c r="F39" s="7" t="n">
        <v>27562</v>
      </c>
      <c r="G39" s="27" t="n">
        <v>6.5</v>
      </c>
      <c r="H39" s="27" t="n">
        <f aca="false">F39/F$43*100</f>
        <v>6.47119868143633</v>
      </c>
      <c r="I39" s="5" t="s">
        <v>576</v>
      </c>
    </row>
    <row r="40" customFormat="false" ht="15" hidden="false" customHeight="false" outlineLevel="0" collapsed="false">
      <c r="A40" s="5" t="s">
        <v>597</v>
      </c>
      <c r="B40" s="5" t="s">
        <v>586</v>
      </c>
      <c r="C40" s="5" t="n">
        <v>4</v>
      </c>
      <c r="D40" s="5" t="s">
        <v>602</v>
      </c>
      <c r="E40" s="5" t="s">
        <v>603</v>
      </c>
      <c r="F40" s="7" t="n">
        <v>18108</v>
      </c>
      <c r="G40" s="27" t="n">
        <v>4.3</v>
      </c>
      <c r="H40" s="27" t="n">
        <f aca="false">F40/F$43*100</f>
        <v>4.25152259355087</v>
      </c>
      <c r="I40" s="5" t="s">
        <v>576</v>
      </c>
    </row>
    <row r="41" customFormat="false" ht="15" hidden="false" customHeight="false" outlineLevel="0" collapsed="false">
      <c r="A41" s="5" t="s">
        <v>597</v>
      </c>
      <c r="B41" s="5" t="s">
        <v>586</v>
      </c>
      <c r="C41" s="5" t="n">
        <v>5</v>
      </c>
      <c r="D41" s="5" t="s">
        <v>598</v>
      </c>
      <c r="E41" s="5" t="s">
        <v>599</v>
      </c>
      <c r="F41" s="7" t="n">
        <v>14341</v>
      </c>
      <c r="G41" s="27" t="n">
        <v>3.4</v>
      </c>
      <c r="H41" s="27" t="n">
        <f aca="false">F41/F$43*100</f>
        <v>3.3670800482722</v>
      </c>
      <c r="I41" s="5" t="s">
        <v>576</v>
      </c>
    </row>
    <row r="42" customFormat="false" ht="15" hidden="false" customHeight="false" outlineLevel="0" collapsed="false">
      <c r="A42" s="5" t="s">
        <v>597</v>
      </c>
      <c r="B42" s="5" t="s">
        <v>586</v>
      </c>
      <c r="D42" s="5" t="s">
        <v>584</v>
      </c>
      <c r="F42" s="7" t="n">
        <v>172963</v>
      </c>
      <c r="G42" s="27" t="n">
        <v>40.6</v>
      </c>
      <c r="H42" s="27" t="n">
        <f aca="false">F42/F$43*100</f>
        <v>40.6094600369085</v>
      </c>
      <c r="I42" s="5" t="s">
        <v>585</v>
      </c>
    </row>
    <row r="43" customFormat="false" ht="15" hidden="false" customHeight="false" outlineLevel="0" collapsed="false">
      <c r="A43" s="9" t="s">
        <v>597</v>
      </c>
      <c r="B43" s="9" t="s">
        <v>586</v>
      </c>
      <c r="D43" s="9" t="s">
        <v>501</v>
      </c>
      <c r="F43" s="29" t="n">
        <v>425918</v>
      </c>
      <c r="G43" s="30" t="n">
        <v>100</v>
      </c>
      <c r="H43" s="27" t="n">
        <f aca="false">F43/F$43*100</f>
        <v>100</v>
      </c>
      <c r="I43" s="9" t="s">
        <v>502</v>
      </c>
      <c r="J43" s="7" t="n">
        <f aca="false">SUM(F37:F42)-F43</f>
        <v>0</v>
      </c>
    </row>
    <row r="44" customFormat="false" ht="15" hidden="false" customHeight="false" outlineLevel="0" collapsed="false">
      <c r="A44" s="5" t="s">
        <v>604</v>
      </c>
      <c r="B44" s="5" t="s">
        <v>574</v>
      </c>
      <c r="C44" s="5" t="n">
        <v>1</v>
      </c>
      <c r="D44" s="5" t="s">
        <v>598</v>
      </c>
      <c r="E44" s="5" t="s">
        <v>599</v>
      </c>
      <c r="F44" s="7" t="n">
        <v>36013</v>
      </c>
      <c r="G44" s="27" t="n">
        <v>13.1</v>
      </c>
      <c r="H44" s="27" t="n">
        <f aca="false">F44/F$50*100</f>
        <v>13.1067890495913</v>
      </c>
      <c r="I44" s="5" t="s">
        <v>576</v>
      </c>
    </row>
    <row r="45" customFormat="false" ht="15" hidden="false" customHeight="false" outlineLevel="0" collapsed="false">
      <c r="A45" s="5" t="s">
        <v>604</v>
      </c>
      <c r="B45" s="5" t="s">
        <v>574</v>
      </c>
      <c r="C45" s="5" t="n">
        <v>2</v>
      </c>
      <c r="D45" s="5" t="s">
        <v>536</v>
      </c>
      <c r="E45" s="5" t="s">
        <v>605</v>
      </c>
      <c r="F45" s="7" t="n">
        <v>33695</v>
      </c>
      <c r="G45" s="27" t="n">
        <v>12.3</v>
      </c>
      <c r="H45" s="27" t="n">
        <f aca="false">F45/F$50*100</f>
        <v>12.263162108849</v>
      </c>
      <c r="I45" s="5" t="s">
        <v>576</v>
      </c>
    </row>
    <row r="46" customFormat="false" ht="15" hidden="false" customHeight="false" outlineLevel="0" collapsed="false">
      <c r="A46" s="5" t="s">
        <v>604</v>
      </c>
      <c r="B46" s="5" t="s">
        <v>574</v>
      </c>
      <c r="C46" s="5" t="n">
        <v>3</v>
      </c>
      <c r="D46" s="5" t="s">
        <v>510</v>
      </c>
      <c r="E46" s="5" t="s">
        <v>600</v>
      </c>
      <c r="F46" s="7" t="n">
        <v>14668</v>
      </c>
      <c r="G46" s="27" t="n">
        <v>5.3</v>
      </c>
      <c r="H46" s="27" t="n">
        <f aca="false">F46/F$50*100</f>
        <v>5.33836064141852</v>
      </c>
      <c r="I46" s="5" t="s">
        <v>576</v>
      </c>
    </row>
    <row r="47" customFormat="false" ht="15" hidden="false" customHeight="false" outlineLevel="0" collapsed="false">
      <c r="A47" s="5" t="s">
        <v>604</v>
      </c>
      <c r="B47" s="5" t="s">
        <v>574</v>
      </c>
      <c r="C47" s="5" t="n">
        <v>4</v>
      </c>
      <c r="D47" s="5" t="s">
        <v>511</v>
      </c>
      <c r="E47" s="5" t="s">
        <v>601</v>
      </c>
      <c r="F47" s="7" t="n">
        <v>14435</v>
      </c>
      <c r="G47" s="27" t="n">
        <v>5.3</v>
      </c>
      <c r="H47" s="27" t="n">
        <f aca="false">F47/F$50*100</f>
        <v>5.25356121208592</v>
      </c>
      <c r="I47" s="5" t="s">
        <v>576</v>
      </c>
    </row>
    <row r="48" customFormat="false" ht="15" hidden="false" customHeight="false" outlineLevel="0" collapsed="false">
      <c r="A48" s="5" t="s">
        <v>604</v>
      </c>
      <c r="B48" s="5" t="s">
        <v>574</v>
      </c>
      <c r="C48" s="5" t="n">
        <v>5</v>
      </c>
      <c r="D48" s="5" t="s">
        <v>506</v>
      </c>
      <c r="E48" s="5" t="s">
        <v>590</v>
      </c>
      <c r="F48" s="7" t="n">
        <v>14035</v>
      </c>
      <c r="G48" s="27" t="n">
        <v>5.1</v>
      </c>
      <c r="H48" s="27" t="n">
        <f aca="false">F48/F$50*100</f>
        <v>5.10798279263082</v>
      </c>
      <c r="I48" s="5" t="s">
        <v>576</v>
      </c>
    </row>
    <row r="49" customFormat="false" ht="15" hidden="false" customHeight="false" outlineLevel="0" collapsed="false">
      <c r="A49" s="5" t="s">
        <v>604</v>
      </c>
      <c r="B49" s="5" t="s">
        <v>574</v>
      </c>
      <c r="D49" s="5" t="s">
        <v>584</v>
      </c>
      <c r="F49" s="7" t="n">
        <v>161920</v>
      </c>
      <c r="G49" s="27" t="n">
        <v>58.9</v>
      </c>
      <c r="H49" s="27" t="n">
        <f aca="false">F49/F$50*100</f>
        <v>58.9301441954245</v>
      </c>
      <c r="I49" s="5" t="s">
        <v>585</v>
      </c>
    </row>
    <row r="50" customFormat="false" ht="15" hidden="false" customHeight="false" outlineLevel="0" collapsed="false">
      <c r="A50" s="9" t="s">
        <v>604</v>
      </c>
      <c r="B50" s="9" t="s">
        <v>574</v>
      </c>
      <c r="D50" s="9" t="s">
        <v>501</v>
      </c>
      <c r="F50" s="29" t="n">
        <v>274766</v>
      </c>
      <c r="G50" s="30" t="n">
        <v>100</v>
      </c>
      <c r="H50" s="27" t="n">
        <f aca="false">F50/F$50*100</f>
        <v>100</v>
      </c>
      <c r="I50" s="9" t="s">
        <v>502</v>
      </c>
      <c r="J50" s="7" t="n">
        <f aca="false">SUM(F44:F49)-F50</f>
        <v>0</v>
      </c>
    </row>
    <row r="51" customFormat="false" ht="15" hidden="false" customHeight="false" outlineLevel="0" collapsed="false">
      <c r="A51" s="5" t="s">
        <v>604</v>
      </c>
      <c r="B51" s="5" t="s">
        <v>586</v>
      </c>
      <c r="C51" s="5" t="n">
        <v>1</v>
      </c>
      <c r="D51" s="5" t="s">
        <v>528</v>
      </c>
      <c r="E51" s="5" t="s">
        <v>592</v>
      </c>
      <c r="F51" s="7" t="n">
        <v>49946</v>
      </c>
      <c r="G51" s="27" t="n">
        <v>23.2</v>
      </c>
      <c r="H51" s="27" t="n">
        <f aca="false">F51/F$57*100</f>
        <v>23.1813160801641</v>
      </c>
      <c r="I51" s="5" t="s">
        <v>576</v>
      </c>
    </row>
    <row r="52" customFormat="false" ht="15" hidden="false" customHeight="false" outlineLevel="0" collapsed="false">
      <c r="A52" s="5" t="s">
        <v>604</v>
      </c>
      <c r="B52" s="5" t="s">
        <v>586</v>
      </c>
      <c r="C52" s="5" t="n">
        <v>2</v>
      </c>
      <c r="D52" s="5" t="s">
        <v>595</v>
      </c>
      <c r="E52" s="5" t="s">
        <v>596</v>
      </c>
      <c r="F52" s="7" t="n">
        <v>19814</v>
      </c>
      <c r="G52" s="27" t="n">
        <v>9.2</v>
      </c>
      <c r="H52" s="27" t="n">
        <f aca="false">F52/F$57*100</f>
        <v>9.19622385801409</v>
      </c>
      <c r="I52" s="5" t="s">
        <v>576</v>
      </c>
    </row>
    <row r="53" customFormat="false" ht="15" hidden="false" customHeight="false" outlineLevel="0" collapsed="false">
      <c r="A53" s="5" t="s">
        <v>604</v>
      </c>
      <c r="B53" s="5" t="s">
        <v>586</v>
      </c>
      <c r="C53" s="5" t="n">
        <v>3</v>
      </c>
      <c r="D53" s="5" t="s">
        <v>598</v>
      </c>
      <c r="E53" s="5" t="s">
        <v>599</v>
      </c>
      <c r="F53" s="7" t="n">
        <v>11793</v>
      </c>
      <c r="G53" s="27" t="n">
        <v>5.5</v>
      </c>
      <c r="H53" s="27" t="n">
        <f aca="false">F53/F$57*100</f>
        <v>5.47345654373474</v>
      </c>
      <c r="I53" s="5" t="s">
        <v>576</v>
      </c>
    </row>
    <row r="54" customFormat="false" ht="15" hidden="false" customHeight="false" outlineLevel="0" collapsed="false">
      <c r="A54" s="5" t="s">
        <v>604</v>
      </c>
      <c r="B54" s="5" t="s">
        <v>586</v>
      </c>
      <c r="C54" s="5" t="n">
        <v>4</v>
      </c>
      <c r="D54" s="5" t="s">
        <v>532</v>
      </c>
      <c r="E54" s="5" t="s">
        <v>594</v>
      </c>
      <c r="F54" s="7" t="n">
        <v>11188</v>
      </c>
      <c r="G54" s="27" t="n">
        <v>5.2</v>
      </c>
      <c r="H54" s="27" t="n">
        <f aca="false">F54/F$57*100</f>
        <v>5.19265935820438</v>
      </c>
      <c r="I54" s="5" t="s">
        <v>576</v>
      </c>
    </row>
    <row r="55" customFormat="false" ht="15" hidden="false" customHeight="false" outlineLevel="0" collapsed="false">
      <c r="A55" s="5" t="s">
        <v>604</v>
      </c>
      <c r="B55" s="5" t="s">
        <v>586</v>
      </c>
      <c r="C55" s="5" t="n">
        <v>5</v>
      </c>
      <c r="D55" s="5" t="s">
        <v>506</v>
      </c>
      <c r="E55" s="5" t="s">
        <v>590</v>
      </c>
      <c r="F55" s="7" t="n">
        <v>9060</v>
      </c>
      <c r="G55" s="27" t="n">
        <v>4.2</v>
      </c>
      <c r="H55" s="27" t="n">
        <f aca="false">F55/F$57*100</f>
        <v>4.20499586926454</v>
      </c>
      <c r="I55" s="5" t="s">
        <v>576</v>
      </c>
    </row>
    <row r="56" customFormat="false" ht="15" hidden="false" customHeight="false" outlineLevel="0" collapsed="false">
      <c r="A56" s="5" t="s">
        <v>604</v>
      </c>
      <c r="B56" s="5" t="s">
        <v>586</v>
      </c>
      <c r="D56" s="5" t="s">
        <v>584</v>
      </c>
      <c r="F56" s="7" t="n">
        <v>113657</v>
      </c>
      <c r="G56" s="27" t="n">
        <v>52.8</v>
      </c>
      <c r="H56" s="27" t="n">
        <f aca="false">F56/F$57*100</f>
        <v>52.7513482906181</v>
      </c>
      <c r="I56" s="5" t="s">
        <v>585</v>
      </c>
    </row>
    <row r="57" customFormat="false" ht="15" hidden="false" customHeight="false" outlineLevel="0" collapsed="false">
      <c r="A57" s="9" t="s">
        <v>604</v>
      </c>
      <c r="B57" s="9" t="s">
        <v>586</v>
      </c>
      <c r="D57" s="9" t="s">
        <v>501</v>
      </c>
      <c r="F57" s="29" t="n">
        <v>215458</v>
      </c>
      <c r="G57" s="30" t="n">
        <v>100</v>
      </c>
      <c r="H57" s="27" t="n">
        <f aca="false">F57/F$57*100</f>
        <v>100</v>
      </c>
      <c r="I57" s="9" t="s">
        <v>502</v>
      </c>
      <c r="J57" s="7" t="n">
        <f aca="false">SUM(F51:F56)-F57</f>
        <v>0</v>
      </c>
    </row>
    <row r="59" customFormat="false" ht="45" hidden="false" customHeight="true" outlineLevel="0" collapsed="false">
      <c r="A59" s="26" t="s">
        <v>606</v>
      </c>
      <c r="B59" s="26"/>
      <c r="C59" s="26"/>
      <c r="D59" s="26"/>
      <c r="E59" s="26"/>
      <c r="F59" s="26"/>
      <c r="G59" s="26"/>
      <c r="H59" s="26"/>
    </row>
  </sheetData>
  <autoFilter ref="A1:J57"/>
  <mergeCells count="1">
    <mergeCell ref="A59:H5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7"/>
    <col collapsed="false" customWidth="true" hidden="false" outlineLevel="0" max="3" min="3" style="0" width="20"/>
    <col collapsed="false" customWidth="true" hidden="false" outlineLevel="0" max="4" min="4" style="0" width="18"/>
    <col collapsed="false" customWidth="true" hidden="false" outlineLevel="0" max="5" min="5" style="0" width="30"/>
    <col collapsed="false" customWidth="true" hidden="false" outlineLevel="0" max="6" min="6" style="0" width="16"/>
    <col collapsed="false" customWidth="true" hidden="false" outlineLevel="0" max="7" min="7" style="0" width="18"/>
    <col collapsed="false" customWidth="true" hidden="false" outlineLevel="0" max="8" min="8" style="0" width="14"/>
  </cols>
  <sheetData>
    <row r="1" customFormat="false" ht="45" hidden="false" customHeight="true" outlineLevel="0" collapsed="false">
      <c r="A1" s="3" t="s">
        <v>564</v>
      </c>
      <c r="B1" s="3" t="s">
        <v>565</v>
      </c>
      <c r="C1" s="3" t="s">
        <v>607</v>
      </c>
      <c r="D1" s="3" t="s">
        <v>608</v>
      </c>
      <c r="E1" s="3" t="s">
        <v>609</v>
      </c>
      <c r="F1" s="8" t="s">
        <v>610</v>
      </c>
      <c r="G1" s="8" t="s">
        <v>611</v>
      </c>
      <c r="H1" s="8" t="s">
        <v>612</v>
      </c>
    </row>
    <row r="2" customFormat="false" ht="15" hidden="false" customHeight="false" outlineLevel="0" collapsed="false">
      <c r="A2" s="5" t="s">
        <v>574</v>
      </c>
      <c r="B2" s="5" t="n">
        <v>1</v>
      </c>
      <c r="C2" s="5" t="s">
        <v>598</v>
      </c>
      <c r="D2" s="27" t="n">
        <v>10.6</v>
      </c>
      <c r="E2" s="5" t="s">
        <v>521</v>
      </c>
      <c r="F2" s="7" t="n">
        <f aca="false">INDEX('India Sites 2022'!$D$2:$D$56,MATCH(E2,'India Sites 2022'!$A$2:$A$56,0))</f>
        <v>75474</v>
      </c>
      <c r="G2" s="27" t="n">
        <f aca="false">F2/'India Sites 2022'!$D$2*100</f>
        <v>10.5976612522747</v>
      </c>
      <c r="H2" s="18" t="n">
        <f aca="false">G2-D2</f>
        <v>-0.00233874772528075</v>
      </c>
    </row>
    <row r="3" customFormat="false" ht="15" hidden="false" customHeight="false" outlineLevel="0" collapsed="false">
      <c r="A3" s="5" t="s">
        <v>574</v>
      </c>
      <c r="B3" s="5" t="n">
        <v>2</v>
      </c>
      <c r="C3" s="5" t="s">
        <v>506</v>
      </c>
      <c r="D3" s="27" t="n">
        <v>8.4</v>
      </c>
      <c r="E3" s="5" t="s">
        <v>506</v>
      </c>
      <c r="F3" s="7" t="n">
        <f aca="false">INDEX('India Sites 2022'!$D$2:$D$56,MATCH(E3,'India Sites 2022'!$A$2:$A$56,0))</f>
        <v>60164</v>
      </c>
      <c r="G3" s="27" t="n">
        <f aca="false">F3/'India Sites 2022'!$D$2*100</f>
        <v>8.44791175215115</v>
      </c>
      <c r="H3" s="18" t="n">
        <f aca="false">G3-D3</f>
        <v>0.047911752151153</v>
      </c>
    </row>
    <row r="4" customFormat="false" ht="15" hidden="false" customHeight="false" outlineLevel="0" collapsed="false">
      <c r="A4" s="5" t="s">
        <v>574</v>
      </c>
      <c r="B4" s="5" t="n">
        <v>3</v>
      </c>
      <c r="C4" s="5" t="s">
        <v>536</v>
      </c>
      <c r="D4" s="27" t="n">
        <v>6.1</v>
      </c>
      <c r="E4" s="5" t="s">
        <v>536</v>
      </c>
      <c r="F4" s="7" t="n">
        <f aca="false">INDEX('India Sites 2022'!$D$2:$D$56,MATCH(E4,'India Sites 2022'!$A$2:$A$56,0))</f>
        <v>43691</v>
      </c>
      <c r="G4" s="27" t="n">
        <f aca="false">F4/'India Sites 2022'!$D$2*100</f>
        <v>6.13485992226641</v>
      </c>
      <c r="H4" s="18" t="n">
        <f aca="false">G4-D4</f>
        <v>0.0348599222664063</v>
      </c>
    </row>
    <row r="5" customFormat="false" ht="15" hidden="false" customHeight="false" outlineLevel="0" collapsed="false">
      <c r="A5" s="5" t="s">
        <v>574</v>
      </c>
      <c r="B5" s="5" t="n">
        <v>4</v>
      </c>
      <c r="C5" s="5" t="s">
        <v>504</v>
      </c>
      <c r="D5" s="27" t="n">
        <v>5.9</v>
      </c>
      <c r="E5" s="5" t="s">
        <v>504</v>
      </c>
      <c r="F5" s="7" t="n">
        <f aca="false">INDEX('India Sites 2022'!$D$2:$D$56,MATCH(E5,'India Sites 2022'!$A$2:$A$56,0))</f>
        <v>41845</v>
      </c>
      <c r="G5" s="27" t="n">
        <f aca="false">F5/'India Sites 2022'!$D$2*100</f>
        <v>5.87565433263688</v>
      </c>
      <c r="H5" s="18" t="n">
        <f aca="false">G5-D5</f>
        <v>-0.0243456673631242</v>
      </c>
    </row>
    <row r="6" customFormat="false" ht="15" hidden="false" customHeight="false" outlineLevel="0" collapsed="false">
      <c r="A6" s="5" t="s">
        <v>574</v>
      </c>
      <c r="B6" s="5" t="n">
        <v>5</v>
      </c>
      <c r="C6" s="5" t="s">
        <v>511</v>
      </c>
      <c r="D6" s="27" t="n">
        <v>4.8</v>
      </c>
      <c r="E6" s="5" t="s">
        <v>511</v>
      </c>
      <c r="F6" s="7" t="n">
        <f aca="false">INDEX('India Sites 2022'!$D$2:$D$56,MATCH(E6,'India Sites 2022'!$A$2:$A$56,0))</f>
        <v>34353</v>
      </c>
      <c r="G6" s="27" t="n">
        <f aca="false">F6/'India Sites 2022'!$D$2*100</f>
        <v>4.82366718339287</v>
      </c>
      <c r="H6" s="18" t="n">
        <f aca="false">G6-D6</f>
        <v>0.0236671833928694</v>
      </c>
    </row>
    <row r="7" customFormat="false" ht="15" hidden="false" customHeight="false" outlineLevel="0" collapsed="false">
      <c r="A7" s="5" t="s">
        <v>574</v>
      </c>
      <c r="B7" s="5" t="n">
        <v>6</v>
      </c>
      <c r="C7" s="5" t="s">
        <v>510</v>
      </c>
      <c r="D7" s="27" t="n">
        <v>4.8</v>
      </c>
      <c r="E7" s="5" t="s">
        <v>510</v>
      </c>
      <c r="F7" s="7" t="n">
        <f aca="false">INDEX('India Sites 2022'!$D$2:$D$56,MATCH(E7,'India Sites 2022'!$A$2:$A$56,0))</f>
        <v>34272</v>
      </c>
      <c r="G7" s="27" t="n">
        <f aca="false">F7/'India Sites 2022'!$D$2*100</f>
        <v>4.81229359034845</v>
      </c>
      <c r="H7" s="18" t="n">
        <f aca="false">G7-D7</f>
        <v>0.0122935903484533</v>
      </c>
    </row>
    <row r="8" customFormat="false" ht="15" hidden="false" customHeight="false" outlineLevel="0" collapsed="false">
      <c r="A8" s="5" t="s">
        <v>574</v>
      </c>
      <c r="B8" s="5" t="n">
        <v>7</v>
      </c>
      <c r="C8" s="5" t="s">
        <v>520</v>
      </c>
      <c r="D8" s="27" t="n">
        <v>4</v>
      </c>
      <c r="E8" s="5" t="s">
        <v>520</v>
      </c>
      <c r="F8" s="7" t="n">
        <f aca="false">INDEX('India Sites 2022'!$D$2:$D$56,MATCH(E8,'India Sites 2022'!$A$2:$A$56,0))</f>
        <v>28542</v>
      </c>
      <c r="G8" s="27" t="n">
        <f aca="false">F8/'India Sites 2022'!$D$2*100</f>
        <v>4.00771719350273</v>
      </c>
      <c r="H8" s="18" t="n">
        <f aca="false">G8-D8</f>
        <v>0.00771719350272893</v>
      </c>
    </row>
    <row r="9" customFormat="false" ht="15" hidden="false" customHeight="false" outlineLevel="0" collapsed="false">
      <c r="A9" s="5" t="s">
        <v>574</v>
      </c>
      <c r="B9" s="5" t="n">
        <v>8</v>
      </c>
      <c r="C9" s="5" t="s">
        <v>613</v>
      </c>
      <c r="D9" s="27" t="n">
        <v>3.9</v>
      </c>
      <c r="E9" s="5" t="s">
        <v>516</v>
      </c>
      <c r="F9" s="7" t="n">
        <f aca="false">INDEX('India Sites 2022'!$D$2:$D$56,MATCH(E9,'India Sites 2022'!$A$2:$A$56,0))</f>
        <v>28020</v>
      </c>
      <c r="G9" s="27" t="n">
        <f aca="false">F9/'India Sites 2022'!$D$2*100</f>
        <v>3.93442070499427</v>
      </c>
      <c r="H9" s="18" t="n">
        <f aca="false">G9-D9</f>
        <v>0.0344207049942709</v>
      </c>
    </row>
    <row r="10" customFormat="false" ht="15" hidden="false" customHeight="false" outlineLevel="0" collapsed="false">
      <c r="A10" s="5" t="s">
        <v>574</v>
      </c>
      <c r="B10" s="5" t="n">
        <v>9</v>
      </c>
      <c r="C10" s="5" t="s">
        <v>579</v>
      </c>
      <c r="D10" s="27" t="n">
        <v>3.7</v>
      </c>
      <c r="E10" s="5" t="s">
        <v>550</v>
      </c>
      <c r="F10" s="7" t="n">
        <f aca="false">INDEX('India Sites 2022'!$D$2:$D$56,MATCH(E10,'India Sites 2022'!$A$2:$A$56,0))</f>
        <v>26497</v>
      </c>
      <c r="G10" s="27" t="n">
        <f aca="false">F10/'India Sites 2022'!$D$2*100</f>
        <v>3.72056907281346</v>
      </c>
      <c r="H10" s="18" t="n">
        <f aca="false">G10-D10</f>
        <v>0.020569072813462</v>
      </c>
    </row>
    <row r="11" customFormat="false" ht="15" hidden="false" customHeight="false" outlineLevel="0" collapsed="false">
      <c r="A11" s="5" t="s">
        <v>574</v>
      </c>
      <c r="B11" s="5" t="n">
        <v>10</v>
      </c>
      <c r="C11" s="5" t="s">
        <v>514</v>
      </c>
      <c r="D11" s="27" t="n">
        <v>3.2</v>
      </c>
      <c r="E11" s="5" t="s">
        <v>514</v>
      </c>
      <c r="F11" s="7" t="n">
        <f aca="false">INDEX('India Sites 2022'!$D$2:$D$56,MATCH(E11,'India Sites 2022'!$A$2:$A$56,0))</f>
        <v>22985</v>
      </c>
      <c r="G11" s="27" t="n">
        <f aca="false">F11/'India Sites 2022'!$D$2*100</f>
        <v>3.22743254476422</v>
      </c>
      <c r="H11" s="18" t="n">
        <f aca="false">G11-D11</f>
        <v>0.0274325447642156</v>
      </c>
    </row>
    <row r="12" customFormat="false" ht="15" hidden="false" customHeight="false" outlineLevel="0" collapsed="false">
      <c r="A12" s="5" t="s">
        <v>586</v>
      </c>
      <c r="B12" s="5" t="n">
        <v>1</v>
      </c>
      <c r="C12" s="5" t="s">
        <v>528</v>
      </c>
      <c r="D12" s="27" t="n">
        <v>28.8</v>
      </c>
      <c r="E12" s="5" t="s">
        <v>528</v>
      </c>
      <c r="F12" s="7" t="n">
        <f aca="false">INDEX('India Sites 2022'!$H$2:$H$56,MATCH(E12,'India Sites 2022'!$A$2:$A$56,0))</f>
        <v>216108</v>
      </c>
      <c r="G12" s="27" t="n">
        <f aca="false">F12/'India Sites 2022'!$H$2*100</f>
        <v>28.8432047471408</v>
      </c>
      <c r="H12" s="18" t="n">
        <f aca="false">G12-D12</f>
        <v>0.043204747140809</v>
      </c>
    </row>
    <row r="13" customFormat="false" ht="15" hidden="false" customHeight="false" outlineLevel="0" collapsed="false">
      <c r="A13" s="5" t="s">
        <v>586</v>
      </c>
      <c r="B13" s="5" t="n">
        <v>2</v>
      </c>
      <c r="C13" s="5" t="s">
        <v>595</v>
      </c>
      <c r="D13" s="27" t="n">
        <v>10.6</v>
      </c>
      <c r="E13" s="5" t="s">
        <v>530</v>
      </c>
      <c r="F13" s="7" t="n">
        <f aca="false">INDEX('India Sites 2022'!$H$2:$H$56,MATCH(E13,'India Sites 2022'!$A$2:$A$56,0))</f>
        <v>79103</v>
      </c>
      <c r="G13" s="27" t="n">
        <f aca="false">F13/'India Sites 2022'!$H$2*100</f>
        <v>10.5576102000531</v>
      </c>
      <c r="H13" s="18" t="n">
        <f aca="false">G13-D13</f>
        <v>-0.0423897999468803</v>
      </c>
    </row>
    <row r="14" customFormat="false" ht="15" hidden="false" customHeight="false" outlineLevel="0" collapsed="false">
      <c r="A14" s="5" t="s">
        <v>586</v>
      </c>
      <c r="B14" s="5" t="n">
        <v>3</v>
      </c>
      <c r="C14" s="5" t="s">
        <v>532</v>
      </c>
      <c r="D14" s="27" t="n">
        <v>6.2</v>
      </c>
      <c r="E14" s="5" t="s">
        <v>532</v>
      </c>
      <c r="F14" s="7" t="n">
        <f aca="false">INDEX('India Sites 2022'!$H$2:$H$56,MATCH(E14,'India Sites 2022'!$A$2:$A$56,0))</f>
        <v>46126</v>
      </c>
      <c r="G14" s="27" t="n">
        <f aca="false">F14/'India Sites 2022'!$H$2*100</f>
        <v>6.15628140636449</v>
      </c>
      <c r="H14" s="18" t="n">
        <f aca="false">G14-D14</f>
        <v>-0.0437185936355107</v>
      </c>
    </row>
    <row r="15" customFormat="false" ht="15" hidden="false" customHeight="false" outlineLevel="0" collapsed="false">
      <c r="A15" s="5" t="s">
        <v>586</v>
      </c>
      <c r="B15" s="5" t="n">
        <v>4</v>
      </c>
      <c r="C15" s="5" t="s">
        <v>602</v>
      </c>
      <c r="D15" s="27" t="n">
        <v>3.7</v>
      </c>
      <c r="E15" s="5" t="s">
        <v>531</v>
      </c>
      <c r="F15" s="7" t="n">
        <f aca="false">INDEX('India Sites 2022'!$H$2:$H$56,MATCH(E15,'India Sites 2022'!$A$2:$A$56,0))</f>
        <v>27922</v>
      </c>
      <c r="G15" s="27" t="n">
        <f aca="false">F15/'India Sites 2022'!$H$2*100</f>
        <v>3.72665501947945</v>
      </c>
      <c r="H15" s="18" t="n">
        <f aca="false">G15-D15</f>
        <v>0.0266550194794535</v>
      </c>
    </row>
    <row r="16" customFormat="false" ht="15" hidden="false" customHeight="false" outlineLevel="0" collapsed="false">
      <c r="A16" s="5" t="s">
        <v>586</v>
      </c>
      <c r="B16" s="5" t="n">
        <v>5</v>
      </c>
      <c r="C16" s="5" t="s">
        <v>598</v>
      </c>
      <c r="D16" s="27" t="n">
        <v>3.7</v>
      </c>
      <c r="E16" s="5" t="s">
        <v>521</v>
      </c>
      <c r="F16" s="7" t="n">
        <f aca="false">INDEX('India Sites 2022'!$H$2:$H$56,MATCH(E16,'India Sites 2022'!$A$2:$A$56,0))</f>
        <v>27897</v>
      </c>
      <c r="G16" s="27" t="n">
        <f aca="false">F16/'India Sites 2022'!$H$2*100</f>
        <v>3.72331835392946</v>
      </c>
      <c r="H16" s="18" t="n">
        <f aca="false">G16-D16</f>
        <v>0.0233183539294575</v>
      </c>
    </row>
    <row r="17" customFormat="false" ht="15" hidden="false" customHeight="false" outlineLevel="0" collapsed="false">
      <c r="A17" s="5" t="s">
        <v>586</v>
      </c>
      <c r="B17" s="5" t="n">
        <v>6</v>
      </c>
      <c r="C17" s="5" t="s">
        <v>546</v>
      </c>
      <c r="D17" s="27" t="n">
        <v>3.6</v>
      </c>
      <c r="E17" s="5" t="s">
        <v>546</v>
      </c>
      <c r="F17" s="7" t="n">
        <f aca="false">INDEX('India Sites 2022'!$H$2:$H$56,MATCH(E17,'India Sites 2022'!$A$2:$A$56,0))</f>
        <v>27253</v>
      </c>
      <c r="G17" s="27" t="n">
        <f aca="false">F17/'India Sites 2022'!$H$2*100</f>
        <v>3.63736584936156</v>
      </c>
      <c r="H17" s="18" t="n">
        <f aca="false">G17-D17</f>
        <v>0.0373658493615623</v>
      </c>
    </row>
    <row r="18" customFormat="false" ht="15" hidden="false" customHeight="false" outlineLevel="0" collapsed="false">
      <c r="A18" s="5" t="s">
        <v>586</v>
      </c>
      <c r="B18" s="5" t="n">
        <v>7</v>
      </c>
      <c r="C18" s="5" t="s">
        <v>506</v>
      </c>
      <c r="D18" s="27" t="n">
        <v>3.2</v>
      </c>
      <c r="E18" s="5" t="s">
        <v>506</v>
      </c>
      <c r="F18" s="7" t="n">
        <f aca="false">INDEX('India Sites 2022'!$H$2:$H$56,MATCH(E18,'India Sites 2022'!$A$2:$A$56,0))</f>
        <v>23675</v>
      </c>
      <c r="G18" s="27" t="n">
        <f aca="false">F18/'India Sites 2022'!$H$2*100</f>
        <v>3.15982227584614</v>
      </c>
      <c r="H18" s="18" t="n">
        <f aca="false">G18-D18</f>
        <v>-0.0401777241538555</v>
      </c>
    </row>
    <row r="19" customFormat="false" ht="15" hidden="false" customHeight="false" outlineLevel="0" collapsed="false">
      <c r="A19" s="5" t="s">
        <v>586</v>
      </c>
      <c r="B19" s="5" t="n">
        <v>8</v>
      </c>
      <c r="C19" s="5" t="s">
        <v>510</v>
      </c>
      <c r="D19" s="27" t="n">
        <v>2.8</v>
      </c>
      <c r="E19" s="5" t="s">
        <v>510</v>
      </c>
      <c r="F19" s="7" t="n">
        <f aca="false">INDEX('India Sites 2022'!$H$2:$H$56,MATCH(E19,'India Sites 2022'!$A$2:$A$56,0))</f>
        <v>21300</v>
      </c>
      <c r="G19" s="27" t="n">
        <f aca="false">F19/'India Sites 2022'!$H$2*100</f>
        <v>2.84283904859653</v>
      </c>
      <c r="H19" s="18" t="n">
        <f aca="false">G19-D19</f>
        <v>0.042839048596532</v>
      </c>
    </row>
    <row r="20" customFormat="false" ht="15" hidden="false" customHeight="false" outlineLevel="0" collapsed="false">
      <c r="A20" s="5" t="s">
        <v>586</v>
      </c>
      <c r="B20" s="5" t="n">
        <v>9</v>
      </c>
      <c r="C20" s="5" t="s">
        <v>614</v>
      </c>
      <c r="D20" s="27" t="n">
        <v>2.7</v>
      </c>
      <c r="E20" s="5" t="s">
        <v>517</v>
      </c>
      <c r="F20" s="7" t="n">
        <f aca="false">INDEX('India Sites 2022'!$H$2:$H$56,MATCH(E20,'India Sites 2022'!$A$2:$A$56,0))</f>
        <v>20570</v>
      </c>
      <c r="G20" s="27" t="n">
        <f aca="false">F20/'India Sites 2022'!$H$2*100</f>
        <v>2.74540841453665</v>
      </c>
      <c r="H20" s="18" t="n">
        <f aca="false">G20-D20</f>
        <v>0.0454084145366505</v>
      </c>
    </row>
    <row r="21" customFormat="false" ht="15" hidden="false" customHeight="false" outlineLevel="0" collapsed="false">
      <c r="A21" s="5" t="s">
        <v>586</v>
      </c>
      <c r="B21" s="5" t="n">
        <v>10</v>
      </c>
      <c r="C21" s="5" t="s">
        <v>511</v>
      </c>
      <c r="D21" s="27" t="n">
        <v>2.4</v>
      </c>
      <c r="E21" s="5" t="s">
        <v>511</v>
      </c>
      <c r="F21" s="7" t="n">
        <f aca="false">INDEX('India Sites 2022'!$H$2:$H$56,MATCH(E21,'India Sites 2022'!$A$2:$A$56,0))</f>
        <v>18353</v>
      </c>
      <c r="G21" s="27" t="n">
        <f aca="false">F21/'India Sites 2022'!$H$2*100</f>
        <v>2.44951291356301</v>
      </c>
      <c r="H21" s="18" t="n">
        <f aca="false">G21-D21</f>
        <v>0.0495129135630115</v>
      </c>
    </row>
    <row r="23" customFormat="false" ht="30" hidden="false" customHeight="true" outlineLevel="0" collapsed="false">
      <c r="A23" s="26" t="s">
        <v>615</v>
      </c>
      <c r="B23" s="26"/>
      <c r="C23" s="26"/>
      <c r="D23" s="26"/>
      <c r="E23" s="26"/>
      <c r="F23" s="26"/>
      <c r="G23" s="26"/>
      <c r="H23" s="26"/>
    </row>
  </sheetData>
  <autoFilter ref="A1:H21"/>
  <mergeCells count="1">
    <mergeCell ref="A23:H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2"/>
    <col collapsed="false" customWidth="true" hidden="false" outlineLevel="0" max="4" min="3" style="0" width="13"/>
    <col collapsed="false" customWidth="true" hidden="false" outlineLevel="0" max="5" min="5" style="0" width="15"/>
    <col collapsed="false" customWidth="true" hidden="false" outlineLevel="0" max="9" min="6" style="0" width="13"/>
    <col collapsed="false" customWidth="true" hidden="false" outlineLevel="0" max="10" min="10" style="0" width="16"/>
  </cols>
  <sheetData>
    <row r="1" customFormat="false" ht="45" hidden="false" customHeight="true" outlineLevel="0" collapsed="false">
      <c r="A1" s="3" t="s">
        <v>564</v>
      </c>
      <c r="B1" s="3" t="s">
        <v>616</v>
      </c>
      <c r="C1" s="3" t="s">
        <v>617</v>
      </c>
      <c r="D1" s="3" t="s">
        <v>618</v>
      </c>
      <c r="E1" s="3" t="s">
        <v>619</v>
      </c>
      <c r="F1" s="8" t="s">
        <v>620</v>
      </c>
      <c r="G1" s="8" t="s">
        <v>621</v>
      </c>
      <c r="H1" s="8" t="s">
        <v>622</v>
      </c>
      <c r="I1" s="8" t="s">
        <v>623</v>
      </c>
      <c r="J1" s="8" t="s">
        <v>624</v>
      </c>
    </row>
    <row r="2" customFormat="false" ht="15" hidden="false" customHeight="false" outlineLevel="0" collapsed="false">
      <c r="A2" s="5" t="s">
        <v>574</v>
      </c>
      <c r="B2" s="5" t="s">
        <v>625</v>
      </c>
      <c r="C2" s="7" t="n">
        <v>63087</v>
      </c>
      <c r="D2" s="7" t="n">
        <v>71788</v>
      </c>
      <c r="E2" s="7" t="n">
        <v>81219</v>
      </c>
      <c r="F2" s="28" t="n">
        <f aca="false">D2/C2-1</f>
        <v>0.13792064926213</v>
      </c>
      <c r="G2" s="28" t="n">
        <f aca="false">E2/D2-1</f>
        <v>0.131372931409149</v>
      </c>
      <c r="H2" s="28" t="n">
        <f aca="false">E2/C2-1</f>
        <v>0.287412620666698</v>
      </c>
      <c r="I2" s="17" t="n">
        <f aca="false">(E2/C2)^(1/10)-1</f>
        <v>0.0255852737170235</v>
      </c>
      <c r="J2" s="28" t="n">
        <f aca="false">E2/E$8</f>
        <v>0.106366761614773</v>
      </c>
    </row>
    <row r="3" customFormat="false" ht="15" hidden="false" customHeight="false" outlineLevel="0" collapsed="false">
      <c r="A3" s="5" t="s">
        <v>574</v>
      </c>
      <c r="B3" s="5" t="s">
        <v>626</v>
      </c>
      <c r="C3" s="7" t="n">
        <v>50779</v>
      </c>
      <c r="D3" s="7" t="n">
        <v>57380</v>
      </c>
      <c r="E3" s="7" t="n">
        <v>64519</v>
      </c>
      <c r="F3" s="28" t="n">
        <f aca="false">D3/C3-1</f>
        <v>0.129994682841332</v>
      </c>
      <c r="G3" s="28" t="n">
        <f aca="false">E3/D3-1</f>
        <v>0.124416172882537</v>
      </c>
      <c r="H3" s="28" t="n">
        <f aca="false">E3/C3-1</f>
        <v>0.270584296658067</v>
      </c>
      <c r="I3" s="17" t="n">
        <f aca="false">(E3/C3)^(1/10)-1</f>
        <v>0.0242367356723068</v>
      </c>
      <c r="J3" s="28" t="n">
        <f aca="false">E3/E$8</f>
        <v>0.0844959565203156</v>
      </c>
    </row>
    <row r="4" customFormat="false" ht="15" hidden="false" customHeight="false" outlineLevel="0" collapsed="false">
      <c r="A4" s="5" t="s">
        <v>574</v>
      </c>
      <c r="B4" s="5" t="s">
        <v>627</v>
      </c>
      <c r="C4" s="7" t="n">
        <v>36419</v>
      </c>
      <c r="D4" s="7" t="n">
        <v>41532</v>
      </c>
      <c r="E4" s="7" t="n">
        <v>47068</v>
      </c>
      <c r="F4" s="28" t="n">
        <f aca="false">D4/C4-1</f>
        <v>0.140393750514841</v>
      </c>
      <c r="G4" s="28" t="n">
        <f aca="false">E4/D4-1</f>
        <v>0.133294808822113</v>
      </c>
      <c r="H4" s="28" t="n">
        <f aca="false">E4/C4-1</f>
        <v>0.292402317471649</v>
      </c>
      <c r="I4" s="17" t="n">
        <f aca="false">(E4/C4)^(1/10)-1</f>
        <v>0.0259820739496883</v>
      </c>
      <c r="J4" s="28" t="n">
        <f aca="false">E4/E$8</f>
        <v>0.0616416200111319</v>
      </c>
    </row>
    <row r="5" customFormat="false" ht="15" hidden="false" customHeight="false" outlineLevel="0" collapsed="false">
      <c r="A5" s="5" t="s">
        <v>574</v>
      </c>
      <c r="B5" s="5" t="s">
        <v>628</v>
      </c>
      <c r="C5" s="7" t="n">
        <v>35336</v>
      </c>
      <c r="D5" s="7" t="n">
        <v>39902</v>
      </c>
      <c r="E5" s="7" t="n">
        <v>44861</v>
      </c>
      <c r="F5" s="28" t="n">
        <f aca="false">D5/C5-1</f>
        <v>0.129216662893367</v>
      </c>
      <c r="G5" s="28" t="n">
        <f aca="false">E5/D5-1</f>
        <v>0.124279484737607</v>
      </c>
      <c r="H5" s="28" t="n">
        <f aca="false">E5/C5-1</f>
        <v>0.269555127914874</v>
      </c>
      <c r="I5" s="17" t="n">
        <f aca="false">(E5/C5)^(1/10)-1</f>
        <v>0.0241537426071268</v>
      </c>
      <c r="J5" s="28" t="n">
        <f aca="false">E5/E$8</f>
        <v>0.0587512687031398</v>
      </c>
    </row>
    <row r="6" customFormat="false" ht="15" hidden="false" customHeight="false" outlineLevel="0" collapsed="false">
      <c r="A6" s="5" t="s">
        <v>574</v>
      </c>
      <c r="B6" s="5" t="s">
        <v>629</v>
      </c>
      <c r="C6" s="7" t="n">
        <v>28815</v>
      </c>
      <c r="D6" s="7" t="n">
        <v>32713</v>
      </c>
      <c r="E6" s="7" t="n">
        <v>36938</v>
      </c>
      <c r="F6" s="28" t="n">
        <f aca="false">D6/C6-1</f>
        <v>0.135276765573486</v>
      </c>
      <c r="G6" s="28" t="n">
        <f aca="false">E6/D6-1</f>
        <v>0.129153547519335</v>
      </c>
      <c r="H6" s="28" t="n">
        <f aca="false">E6/C6-1</f>
        <v>0.281901787263578</v>
      </c>
      <c r="I6" s="17" t="n">
        <f aca="false">(E6/C6)^(1/10)-1</f>
        <v>0.0251454189322622</v>
      </c>
      <c r="J6" s="28" t="n">
        <f aca="false">E6/E$8</f>
        <v>0.0483750777592247</v>
      </c>
    </row>
    <row r="7" customFormat="false" ht="15" hidden="false" customHeight="false" outlineLevel="0" collapsed="false">
      <c r="A7" s="5" t="s">
        <v>574</v>
      </c>
      <c r="B7" s="5" t="s">
        <v>630</v>
      </c>
      <c r="C7" s="7" t="n">
        <v>387301</v>
      </c>
      <c r="D7" s="7" t="n">
        <v>436106</v>
      </c>
      <c r="E7" s="7" t="n">
        <v>488970</v>
      </c>
      <c r="F7" s="28" t="n">
        <f aca="false">D7/C7-1</f>
        <v>0.126013100921506</v>
      </c>
      <c r="G7" s="28" t="n">
        <f aca="false">E7/D7-1</f>
        <v>0.121218235933466</v>
      </c>
      <c r="H7" s="28" t="n">
        <f aca="false">E7/C7-1</f>
        <v>0.262506422653182</v>
      </c>
      <c r="I7" s="17" t="n">
        <f aca="false">(E7/C7)^(1/10)-1</f>
        <v>0.0235836958574331</v>
      </c>
      <c r="J7" s="28" t="n">
        <f aca="false">E7/E$8</f>
        <v>0.640369315391415</v>
      </c>
    </row>
    <row r="8" customFormat="false" ht="15" hidden="false" customHeight="false" outlineLevel="0" collapsed="false">
      <c r="A8" s="9" t="s">
        <v>574</v>
      </c>
      <c r="B8" s="9" t="s">
        <v>501</v>
      </c>
      <c r="C8" s="29" t="n">
        <v>601737</v>
      </c>
      <c r="D8" s="29" t="n">
        <v>679421</v>
      </c>
      <c r="E8" s="29" t="n">
        <v>763575</v>
      </c>
      <c r="F8" s="28" t="n">
        <f aca="false">D8/C8-1</f>
        <v>0.129099590020225</v>
      </c>
      <c r="G8" s="28" t="n">
        <f aca="false">E8/D8-1</f>
        <v>0.12386134664663</v>
      </c>
      <c r="H8" s="28" t="n">
        <f aca="false">E8/C8-1</f>
        <v>0.268951385738288</v>
      </c>
      <c r="I8" s="17" t="n">
        <f aca="false">(E8/C8)^(1/10)-1</f>
        <v>0.024105028127771</v>
      </c>
      <c r="J8" s="28" t="n">
        <f aca="false">E8/E$8</f>
        <v>1</v>
      </c>
    </row>
    <row r="9" customFormat="false" ht="28.35" hidden="false" customHeight="false" outlineLevel="0" collapsed="false">
      <c r="A9" s="31" t="s">
        <v>574</v>
      </c>
      <c r="B9" s="31" t="s">
        <v>631</v>
      </c>
      <c r="C9" s="32" t="n">
        <f aca="false">SUM(C2:C7)-C8</f>
        <v>0</v>
      </c>
      <c r="D9" s="32" t="n">
        <f aca="false">SUM(D2:D7)-D8</f>
        <v>0</v>
      </c>
      <c r="E9" s="32" t="n">
        <f aca="false">SUM(E2:E7)-E8</f>
        <v>0</v>
      </c>
    </row>
    <row r="10" customFormat="false" ht="15" hidden="false" customHeight="false" outlineLevel="0" collapsed="false">
      <c r="A10" s="5" t="s">
        <v>586</v>
      </c>
      <c r="B10" s="5" t="s">
        <v>632</v>
      </c>
      <c r="C10" s="7" t="n">
        <v>180252</v>
      </c>
      <c r="D10" s="7" t="n">
        <v>205424</v>
      </c>
      <c r="E10" s="7" t="n">
        <v>232832</v>
      </c>
      <c r="F10" s="28" t="n">
        <f aca="false">D10/C10-1</f>
        <v>0.139648935934137</v>
      </c>
      <c r="G10" s="28" t="n">
        <f aca="false">E10/D10-1</f>
        <v>0.133421606044084</v>
      </c>
      <c r="H10" s="28" t="n">
        <f aca="false">E10/C10-1</f>
        <v>0.291702727292901</v>
      </c>
      <c r="I10" s="17" t="n">
        <f aca="false">(E10/C10)^(1/10)-1</f>
        <v>0.0259265229905763</v>
      </c>
      <c r="J10" s="28" t="n">
        <f aca="false">E10/E$16</f>
        <v>0.28879533823358</v>
      </c>
    </row>
    <row r="11" customFormat="false" ht="15" hidden="false" customHeight="false" outlineLevel="0" collapsed="false">
      <c r="A11" s="5" t="s">
        <v>586</v>
      </c>
      <c r="B11" s="5" t="s">
        <v>633</v>
      </c>
      <c r="C11" s="7" t="n">
        <v>65978</v>
      </c>
      <c r="D11" s="7" t="n">
        <v>75209</v>
      </c>
      <c r="E11" s="7" t="n">
        <v>85241</v>
      </c>
      <c r="F11" s="28" t="n">
        <f aca="false">D11/C11-1</f>
        <v>0.139910273121344</v>
      </c>
      <c r="G11" s="28" t="n">
        <f aca="false">E11/D11-1</f>
        <v>0.133388291294925</v>
      </c>
      <c r="H11" s="28" t="n">
        <f aca="false">E11/C11-1</f>
        <v>0.291960956682531</v>
      </c>
      <c r="I11" s="17" t="n">
        <f aca="false">(E11/C11)^(1/10)-1</f>
        <v>0.025947030847711</v>
      </c>
      <c r="J11" s="28" t="n">
        <f aca="false">E11/E$16</f>
        <v>0.105729467712207</v>
      </c>
    </row>
    <row r="12" customFormat="false" ht="15" hidden="false" customHeight="false" outlineLevel="0" collapsed="false">
      <c r="A12" s="5" t="s">
        <v>586</v>
      </c>
      <c r="B12" s="5" t="s">
        <v>634</v>
      </c>
      <c r="C12" s="7" t="n">
        <v>38607</v>
      </c>
      <c r="D12" s="7" t="n">
        <v>43886</v>
      </c>
      <c r="E12" s="7" t="n">
        <v>49644</v>
      </c>
      <c r="F12" s="28" t="n">
        <f aca="false">D12/C12-1</f>
        <v>0.136736861190976</v>
      </c>
      <c r="G12" s="28" t="n">
        <f aca="false">E12/D12-1</f>
        <v>0.131203572893406</v>
      </c>
      <c r="H12" s="28" t="n">
        <f aca="false">E12/C12-1</f>
        <v>0.285880798818867</v>
      </c>
      <c r="I12" s="17" t="n">
        <f aca="false">(E12/C12)^(1/10)-1</f>
        <v>0.025463179548699</v>
      </c>
      <c r="J12" s="28" t="n">
        <f aca="false">E12/E$16</f>
        <v>0.0615763974508136</v>
      </c>
    </row>
    <row r="13" customFormat="false" ht="15" hidden="false" customHeight="false" outlineLevel="0" collapsed="false">
      <c r="A13" s="5" t="s">
        <v>586</v>
      </c>
      <c r="B13" s="5" t="s">
        <v>635</v>
      </c>
      <c r="C13" s="7" t="n">
        <v>23175</v>
      </c>
      <c r="D13" s="7" t="n">
        <v>26514</v>
      </c>
      <c r="E13" s="7" t="n">
        <v>30121</v>
      </c>
      <c r="F13" s="28" t="n">
        <f aca="false">D13/C13-1</f>
        <v>0.144077669902913</v>
      </c>
      <c r="G13" s="28" t="n">
        <f aca="false">E13/D13-1</f>
        <v>0.136041336652335</v>
      </c>
      <c r="H13" s="28" t="n">
        <f aca="false">E13/C13-1</f>
        <v>0.299719525350593</v>
      </c>
      <c r="I13" s="17" t="n">
        <f aca="false">(E13/C13)^(1/10)-1</f>
        <v>0.0265614806394372</v>
      </c>
      <c r="J13" s="28" t="n">
        <f aca="false">E13/E$16</f>
        <v>0.0373608626947054</v>
      </c>
    </row>
    <row r="14" customFormat="false" ht="15" hidden="false" customHeight="false" outlineLevel="0" collapsed="false">
      <c r="A14" s="5" t="s">
        <v>586</v>
      </c>
      <c r="B14" s="5" t="s">
        <v>625</v>
      </c>
      <c r="C14" s="7" t="n">
        <v>23163</v>
      </c>
      <c r="D14" s="7" t="n">
        <v>26490</v>
      </c>
      <c r="E14" s="7" t="n">
        <v>30109</v>
      </c>
      <c r="F14" s="28" t="n">
        <f aca="false">D14/C14-1</f>
        <v>0.143634244268877</v>
      </c>
      <c r="G14" s="28" t="n">
        <f aca="false">E14/D14-1</f>
        <v>0.136617591543979</v>
      </c>
      <c r="H14" s="28" t="n">
        <f aca="false">E14/C14-1</f>
        <v>0.29987480032811</v>
      </c>
      <c r="I14" s="17" t="n">
        <f aca="false">(E14/C14)^(1/10)-1</f>
        <v>0.0265737441115907</v>
      </c>
      <c r="J14" s="28" t="n">
        <f aca="false">E14/E$16</f>
        <v>0.037345978383018</v>
      </c>
    </row>
    <row r="15" customFormat="false" ht="15" hidden="false" customHeight="false" outlineLevel="0" collapsed="false">
      <c r="A15" s="5" t="s">
        <v>586</v>
      </c>
      <c r="B15" s="5" t="s">
        <v>630</v>
      </c>
      <c r="C15" s="7" t="n">
        <v>296027</v>
      </c>
      <c r="D15" s="7" t="n">
        <v>335235</v>
      </c>
      <c r="E15" s="7" t="n">
        <v>378271</v>
      </c>
      <c r="F15" s="28" t="n">
        <f aca="false">D15/C15-1</f>
        <v>0.13244737811078</v>
      </c>
      <c r="G15" s="28" t="n">
        <f aca="false">E15/D15-1</f>
        <v>0.128375617104419</v>
      </c>
      <c r="H15" s="28" t="n">
        <f aca="false">E15/C15-1</f>
        <v>0.277826009114033</v>
      </c>
      <c r="I15" s="17" t="n">
        <f aca="false">(E15/C15)^(1/10)-1</f>
        <v>0.0248190089434832</v>
      </c>
      <c r="J15" s="28" t="n">
        <f aca="false">E15/E$16</f>
        <v>0.469191955525677</v>
      </c>
    </row>
    <row r="16" customFormat="false" ht="15" hidden="false" customHeight="false" outlineLevel="0" collapsed="false">
      <c r="A16" s="9" t="s">
        <v>586</v>
      </c>
      <c r="B16" s="9" t="s">
        <v>501</v>
      </c>
      <c r="C16" s="29" t="n">
        <v>627202</v>
      </c>
      <c r="D16" s="29" t="n">
        <v>712758</v>
      </c>
      <c r="E16" s="29" t="n">
        <v>806218</v>
      </c>
      <c r="F16" s="28" t="n">
        <f aca="false">D16/C16-1</f>
        <v>0.13640900379782</v>
      </c>
      <c r="G16" s="28" t="n">
        <f aca="false">E16/D16-1</f>
        <v>0.13112444897146</v>
      </c>
      <c r="H16" s="28" t="n">
        <f aca="false">E16/C16-1</f>
        <v>0.285420008227015</v>
      </c>
      <c r="I16" s="17" t="n">
        <f aca="false">(E16/C16)^(1/10)-1</f>
        <v>0.0254264265308166</v>
      </c>
      <c r="J16" s="28" t="n">
        <f aca="false">E16/E$16</f>
        <v>1</v>
      </c>
    </row>
    <row r="17" customFormat="false" ht="28.35" hidden="false" customHeight="false" outlineLevel="0" collapsed="false">
      <c r="A17" s="31" t="s">
        <v>586</v>
      </c>
      <c r="B17" s="31" t="s">
        <v>631</v>
      </c>
      <c r="C17" s="32" t="n">
        <f aca="false">SUM(C10:C15)-C16</f>
        <v>0</v>
      </c>
      <c r="D17" s="32" t="n">
        <f aca="false">SUM(D10:D15)-D16</f>
        <v>0</v>
      </c>
      <c r="E17" s="32" t="n">
        <f aca="false">SUM(E10:E15)-E16</f>
        <v>0</v>
      </c>
    </row>
    <row r="18" customFormat="false" ht="15" hidden="false" customHeight="false" outlineLevel="0" collapsed="false">
      <c r="A18" s="13" t="s">
        <v>636</v>
      </c>
      <c r="B18" s="13" t="s">
        <v>637</v>
      </c>
      <c r="C18" s="19" t="n">
        <f aca="false">C8+C16</f>
        <v>1228939</v>
      </c>
      <c r="D18" s="19" t="n">
        <f aca="false">D8+D16</f>
        <v>1392179</v>
      </c>
      <c r="E18" s="19" t="n">
        <f aca="false">E8+E16</f>
        <v>1569793</v>
      </c>
      <c r="F18" s="33" t="n">
        <f aca="false">D18/C18-1</f>
        <v>0.132830026551358</v>
      </c>
      <c r="G18" s="33" t="n">
        <f aca="false">E18/D18-1</f>
        <v>0.127579858624502</v>
      </c>
      <c r="H18" s="33" t="n">
        <f aca="false">E18/C18-1</f>
        <v>0.277356321184371</v>
      </c>
      <c r="I18" s="21" t="n">
        <f aca="false">(E18/C18)^(1/10)-1</f>
        <v>0.024781333645683</v>
      </c>
      <c r="J18" s="20"/>
    </row>
    <row r="20" customFormat="false" ht="45" hidden="false" customHeight="true" outlineLevel="0" collapsed="false">
      <c r="A20" s="26" t="s">
        <v>638</v>
      </c>
      <c r="B20" s="26"/>
      <c r="C20" s="26"/>
      <c r="D20" s="26"/>
      <c r="E20" s="26"/>
      <c r="F20" s="26"/>
      <c r="G20" s="26"/>
      <c r="H20" s="26"/>
      <c r="I20" s="26"/>
      <c r="J20" s="26"/>
    </row>
  </sheetData>
  <mergeCells count="1">
    <mergeCell ref="A20:J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4"/>
    <col collapsed="false" customWidth="true" hidden="false" outlineLevel="0" max="7" min="6" style="0" width="16"/>
  </cols>
  <sheetData>
    <row r="1" customFormat="false" ht="45" hidden="false" customHeight="true" outlineLevel="0" collapsed="false">
      <c r="A1" s="3" t="s">
        <v>639</v>
      </c>
      <c r="B1" s="3" t="s">
        <v>640</v>
      </c>
      <c r="C1" s="3" t="s">
        <v>641</v>
      </c>
      <c r="D1" s="3" t="s">
        <v>642</v>
      </c>
      <c r="E1" s="3" t="s">
        <v>643</v>
      </c>
      <c r="F1" s="8" t="s">
        <v>644</v>
      </c>
      <c r="G1" s="8" t="s">
        <v>645</v>
      </c>
    </row>
    <row r="2" customFormat="false" ht="15" hidden="false" customHeight="false" outlineLevel="0" collapsed="false">
      <c r="A2" s="5" t="s">
        <v>646</v>
      </c>
      <c r="B2" s="27" t="n">
        <v>9.4</v>
      </c>
      <c r="C2" s="27" t="n">
        <v>9.3</v>
      </c>
      <c r="D2" s="27" t="n">
        <v>8.2</v>
      </c>
      <c r="E2" s="27" t="n">
        <v>7.8</v>
      </c>
      <c r="F2" s="34" t="n">
        <f aca="false">D2-B2</f>
        <v>-1.2</v>
      </c>
      <c r="G2" s="34" t="n">
        <f aca="false">E2-C2</f>
        <v>-1.5</v>
      </c>
    </row>
    <row r="3" customFormat="false" ht="15" hidden="false" customHeight="false" outlineLevel="0" collapsed="false">
      <c r="A3" s="5" t="s">
        <v>647</v>
      </c>
      <c r="B3" s="27" t="n">
        <v>10.7</v>
      </c>
      <c r="C3" s="27" t="n">
        <v>10.4</v>
      </c>
      <c r="D3" s="27" t="n">
        <v>8.9</v>
      </c>
      <c r="E3" s="27" t="n">
        <v>8.4</v>
      </c>
      <c r="F3" s="34" t="n">
        <f aca="false">D3-B3</f>
        <v>-1.8</v>
      </c>
      <c r="G3" s="34" t="n">
        <f aca="false">E3-C3</f>
        <v>-2</v>
      </c>
    </row>
    <row r="4" customFormat="false" ht="15" hidden="false" customHeight="false" outlineLevel="0" collapsed="false">
      <c r="A4" s="5" t="s">
        <v>648</v>
      </c>
      <c r="B4" s="27" t="n">
        <v>11.2</v>
      </c>
      <c r="C4" s="27" t="n">
        <v>10.8</v>
      </c>
      <c r="D4" s="27" t="n">
        <v>10</v>
      </c>
      <c r="E4" s="27" t="n">
        <v>9.7</v>
      </c>
      <c r="F4" s="34" t="n">
        <f aca="false">D4-B4</f>
        <v>-1.2</v>
      </c>
      <c r="G4" s="34" t="n">
        <f aca="false">E4-C4</f>
        <v>-1.1</v>
      </c>
    </row>
    <row r="5" customFormat="false" ht="15" hidden="false" customHeight="false" outlineLevel="0" collapsed="false">
      <c r="A5" s="5" t="s">
        <v>649</v>
      </c>
      <c r="B5" s="27" t="n">
        <v>10.3</v>
      </c>
      <c r="C5" s="27" t="n">
        <v>9.7</v>
      </c>
      <c r="D5" s="27" t="n">
        <v>10.4</v>
      </c>
      <c r="E5" s="27" t="n">
        <v>10</v>
      </c>
      <c r="F5" s="34" t="n">
        <f aca="false">D5-B5</f>
        <v>0.0999999999999996</v>
      </c>
      <c r="G5" s="34" t="n">
        <f aca="false">E5-C5</f>
        <v>0.300000000000001</v>
      </c>
    </row>
    <row r="6" customFormat="false" ht="15" hidden="false" customHeight="false" outlineLevel="0" collapsed="false">
      <c r="A6" s="5" t="s">
        <v>650</v>
      </c>
      <c r="B6" s="27" t="n">
        <v>9.3</v>
      </c>
      <c r="C6" s="27" t="n">
        <v>9.2</v>
      </c>
      <c r="D6" s="27" t="n">
        <v>9.8</v>
      </c>
      <c r="E6" s="27" t="n">
        <v>9.6</v>
      </c>
      <c r="F6" s="34" t="n">
        <f aca="false">D6-B6</f>
        <v>0.5</v>
      </c>
      <c r="G6" s="34" t="n">
        <f aca="false">E6-C6</f>
        <v>0.4</v>
      </c>
    </row>
    <row r="7" customFormat="false" ht="15" hidden="false" customHeight="false" outlineLevel="0" collapsed="false">
      <c r="A7" s="5" t="s">
        <v>651</v>
      </c>
      <c r="B7" s="27" t="n">
        <v>8.3</v>
      </c>
      <c r="C7" s="27" t="n">
        <v>8.6</v>
      </c>
      <c r="D7" s="27" t="n">
        <v>8.7</v>
      </c>
      <c r="E7" s="27" t="n">
        <v>8.6</v>
      </c>
      <c r="F7" s="34" t="n">
        <f aca="false">D7-B7</f>
        <v>0.399999999999999</v>
      </c>
      <c r="G7" s="34" t="n">
        <f aca="false">E7-C7</f>
        <v>0</v>
      </c>
    </row>
    <row r="8" customFormat="false" ht="15" hidden="false" customHeight="false" outlineLevel="0" collapsed="false">
      <c r="A8" s="5" t="s">
        <v>652</v>
      </c>
      <c r="B8" s="27" t="n">
        <v>7.2</v>
      </c>
      <c r="C8" s="27" t="n">
        <v>7.5</v>
      </c>
      <c r="D8" s="27" t="n">
        <v>7.3</v>
      </c>
      <c r="E8" s="27" t="n">
        <v>7.6</v>
      </c>
      <c r="F8" s="34" t="n">
        <f aca="false">D8-B8</f>
        <v>0.0999999999999996</v>
      </c>
      <c r="G8" s="34" t="n">
        <f aca="false">E8-C8</f>
        <v>0.0999999999999996</v>
      </c>
    </row>
    <row r="9" customFormat="false" ht="15" hidden="false" customHeight="false" outlineLevel="0" collapsed="false">
      <c r="A9" s="5" t="s">
        <v>653</v>
      </c>
      <c r="B9" s="27" t="n">
        <v>6.9</v>
      </c>
      <c r="C9" s="27" t="n">
        <v>7.2</v>
      </c>
      <c r="D9" s="27" t="n">
        <v>7</v>
      </c>
      <c r="E9" s="27" t="n">
        <v>7.4</v>
      </c>
      <c r="F9" s="34" t="n">
        <f aca="false">D9-B9</f>
        <v>0.0999999999999996</v>
      </c>
      <c r="G9" s="34" t="n">
        <f aca="false">E9-C9</f>
        <v>0.2</v>
      </c>
    </row>
    <row r="10" customFormat="false" ht="15" hidden="false" customHeight="false" outlineLevel="0" collapsed="false">
      <c r="A10" s="5" t="s">
        <v>654</v>
      </c>
      <c r="B10" s="27" t="n">
        <v>6</v>
      </c>
      <c r="C10" s="27" t="n">
        <v>6</v>
      </c>
      <c r="D10" s="27" t="n">
        <v>6.4</v>
      </c>
      <c r="E10" s="27" t="n">
        <v>6.7</v>
      </c>
      <c r="F10" s="34" t="n">
        <f aca="false">D10-B10</f>
        <v>0.4</v>
      </c>
      <c r="G10" s="34" t="n">
        <f aca="false">E10-C10</f>
        <v>0.7</v>
      </c>
    </row>
    <row r="11" customFormat="false" ht="15" hidden="false" customHeight="false" outlineLevel="0" collapsed="false">
      <c r="A11" s="5" t="s">
        <v>655</v>
      </c>
      <c r="B11" s="27" t="n">
        <v>5.2</v>
      </c>
      <c r="C11" s="27" t="n">
        <v>5.2</v>
      </c>
      <c r="D11" s="27" t="n">
        <v>5.6</v>
      </c>
      <c r="E11" s="27" t="n">
        <v>5.7</v>
      </c>
      <c r="F11" s="34" t="n">
        <f aca="false">D11-B11</f>
        <v>0.399999999999999</v>
      </c>
      <c r="G11" s="34" t="n">
        <f aca="false">E11-C11</f>
        <v>0.5</v>
      </c>
    </row>
    <row r="12" customFormat="false" ht="15" hidden="false" customHeight="false" outlineLevel="0" collapsed="false">
      <c r="A12" s="5" t="s">
        <v>656</v>
      </c>
      <c r="B12" s="27" t="n">
        <v>4.2</v>
      </c>
      <c r="C12" s="27" t="n">
        <v>4</v>
      </c>
      <c r="D12" s="27" t="n">
        <v>4.6</v>
      </c>
      <c r="E12" s="27" t="n">
        <v>4.5</v>
      </c>
      <c r="F12" s="34" t="n">
        <f aca="false">D12-B12</f>
        <v>0.399999999999999</v>
      </c>
      <c r="G12" s="34" t="n">
        <f aca="false">E12-C12</f>
        <v>0.5</v>
      </c>
    </row>
    <row r="13" customFormat="false" ht="15" hidden="false" customHeight="false" outlineLevel="0" collapsed="false">
      <c r="A13" s="5" t="s">
        <v>657</v>
      </c>
      <c r="B13" s="27" t="n">
        <v>3.1</v>
      </c>
      <c r="C13" s="27" t="n">
        <v>3.4</v>
      </c>
      <c r="D13" s="27" t="n">
        <v>3.7</v>
      </c>
      <c r="E13" s="27" t="n">
        <v>3.9</v>
      </c>
      <c r="F13" s="34" t="n">
        <f aca="false">D13-B13</f>
        <v>0.6</v>
      </c>
      <c r="G13" s="34" t="n">
        <f aca="false">E13-C13</f>
        <v>0.5</v>
      </c>
    </row>
    <row r="14" customFormat="false" ht="15" hidden="false" customHeight="false" outlineLevel="0" collapsed="false">
      <c r="A14" s="5" t="s">
        <v>658</v>
      </c>
      <c r="B14" s="27" t="n">
        <v>3</v>
      </c>
      <c r="C14" s="27" t="n">
        <v>3.2</v>
      </c>
      <c r="D14" s="27" t="n">
        <v>3.4</v>
      </c>
      <c r="E14" s="27" t="n">
        <v>3.6</v>
      </c>
      <c r="F14" s="34" t="n">
        <f aca="false">D14-B14</f>
        <v>0.4</v>
      </c>
      <c r="G14" s="34" t="n">
        <f aca="false">E14-C14</f>
        <v>0.4</v>
      </c>
    </row>
    <row r="15" customFormat="false" ht="15" hidden="false" customHeight="false" outlineLevel="0" collapsed="false">
      <c r="A15" s="5" t="s">
        <v>659</v>
      </c>
      <c r="B15" s="27" t="n">
        <v>2.1</v>
      </c>
      <c r="C15" s="27" t="n">
        <v>2.3</v>
      </c>
      <c r="D15" s="27" t="n">
        <v>2.4</v>
      </c>
      <c r="E15" s="27" t="n">
        <v>2.5</v>
      </c>
      <c r="F15" s="34" t="n">
        <f aca="false">D15-B15</f>
        <v>0.3</v>
      </c>
      <c r="G15" s="34" t="n">
        <f aca="false">E15-C15</f>
        <v>0.2</v>
      </c>
    </row>
    <row r="16" customFormat="false" ht="15" hidden="false" customHeight="false" outlineLevel="0" collapsed="false">
      <c r="A16" s="5" t="s">
        <v>660</v>
      </c>
      <c r="B16" s="27" t="n">
        <v>1.6</v>
      </c>
      <c r="C16" s="27" t="n">
        <v>1.6</v>
      </c>
      <c r="D16" s="27" t="n">
        <v>1.7</v>
      </c>
      <c r="E16" s="27" t="n">
        <v>1.8</v>
      </c>
      <c r="F16" s="34" t="n">
        <f aca="false">D16-B16</f>
        <v>0.0999999999999999</v>
      </c>
      <c r="G16" s="34" t="n">
        <f aca="false">E16-C16</f>
        <v>0.2</v>
      </c>
    </row>
    <row r="17" customFormat="false" ht="15" hidden="false" customHeight="false" outlineLevel="0" collapsed="false">
      <c r="A17" s="5" t="s">
        <v>661</v>
      </c>
      <c r="B17" s="27" t="n">
        <v>1.6</v>
      </c>
      <c r="C17" s="27" t="n">
        <v>1.8</v>
      </c>
      <c r="D17" s="27" t="n">
        <v>1.8</v>
      </c>
      <c r="E17" s="27" t="n">
        <v>2.2</v>
      </c>
      <c r="F17" s="34" t="n">
        <f aca="false">D17-B17</f>
        <v>0.2</v>
      </c>
      <c r="G17" s="34" t="n">
        <f aca="false">E17-C17</f>
        <v>0.4</v>
      </c>
    </row>
    <row r="18" customFormat="false" ht="15" hidden="false" customHeight="false" outlineLevel="0" collapsed="false">
      <c r="A18" s="13" t="s">
        <v>662</v>
      </c>
      <c r="B18" s="35" t="n">
        <f aca="false">SUM(B2:B17)</f>
        <v>100.1</v>
      </c>
      <c r="C18" s="35" t="n">
        <f aca="false">SUM(C2:C17)</f>
        <v>100.2</v>
      </c>
      <c r="D18" s="35" t="n">
        <f aca="false">SUM(D2:D17)</f>
        <v>99.9</v>
      </c>
      <c r="E18" s="35" t="n">
        <f aca="false">SUM(E2:E17)</f>
        <v>100</v>
      </c>
    </row>
    <row r="19" customFormat="false" ht="15" hidden="false" customHeight="false" outlineLevel="0" collapsed="false">
      <c r="A19" s="13" t="s">
        <v>663</v>
      </c>
      <c r="B19" s="35" t="n">
        <f aca="false">SUM(B14:B17)</f>
        <v>8.3</v>
      </c>
      <c r="C19" s="35" t="n">
        <f aca="false">SUM(C14:C17)</f>
        <v>8.9</v>
      </c>
      <c r="D19" s="35" t="n">
        <f aca="false">SUM(D14:D17)</f>
        <v>9.3</v>
      </c>
      <c r="E19" s="35" t="n">
        <f aca="false">SUM(E14:E17)</f>
        <v>10.1</v>
      </c>
    </row>
    <row r="20" customFormat="false" ht="15" hidden="false" customHeight="false" outlineLevel="0" collapsed="false">
      <c r="A20" s="13" t="s">
        <v>664</v>
      </c>
      <c r="B20" s="35" t="n">
        <f aca="false">SUM(B2:B4)</f>
        <v>31.3</v>
      </c>
      <c r="C20" s="35" t="n">
        <f aca="false">SUM(C2:C4)</f>
        <v>30.5</v>
      </c>
      <c r="D20" s="35" t="n">
        <f aca="false">SUM(D2:D4)</f>
        <v>27.1</v>
      </c>
      <c r="E20" s="35" t="n">
        <f aca="false">SUM(E2:E4)</f>
        <v>25.9</v>
      </c>
    </row>
    <row r="21" customFormat="false" ht="28.35" hidden="false" customHeight="false" outlineLevel="0" collapsed="false">
      <c r="A21" s="13" t="s">
        <v>665</v>
      </c>
      <c r="B21" s="35" t="n">
        <f aca="false">AVERAGE(B19:C19)</f>
        <v>8.6</v>
      </c>
      <c r="D21" s="35" t="n">
        <f aca="false">AVERAGE(D19:E19)</f>
        <v>9.7</v>
      </c>
    </row>
    <row r="23" customFormat="false" ht="60" hidden="false" customHeight="true" outlineLevel="0" collapsed="false">
      <c r="A23" s="26" t="s">
        <v>666</v>
      </c>
      <c r="B23" s="26"/>
      <c r="C23" s="26"/>
      <c r="D23" s="26"/>
      <c r="E23" s="26"/>
      <c r="F23" s="26"/>
      <c r="G23" s="26"/>
    </row>
  </sheetData>
  <mergeCells count="1">
    <mergeCell ref="A23:G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0"/>
    <col collapsed="false" customWidth="true" hidden="false" outlineLevel="0" max="4" min="3" style="0" width="12"/>
    <col collapsed="false" customWidth="true" hidden="false" outlineLevel="0" max="5" min="5" style="0" width="11"/>
    <col collapsed="false" customWidth="true" hidden="false" outlineLevel="0" max="19" min="6" style="0" width="12"/>
  </cols>
  <sheetData>
    <row r="1" customFormat="false" ht="45" hidden="false" customHeight="true" outlineLevel="0" collapsed="false">
      <c r="A1" s="3" t="s">
        <v>667</v>
      </c>
      <c r="B1" s="3" t="s">
        <v>483</v>
      </c>
      <c r="C1" s="3" t="s">
        <v>668</v>
      </c>
      <c r="D1" s="3" t="s">
        <v>669</v>
      </c>
      <c r="E1" s="3" t="s">
        <v>670</v>
      </c>
      <c r="F1" s="3" t="s">
        <v>671</v>
      </c>
      <c r="G1" s="3" t="s">
        <v>486</v>
      </c>
      <c r="H1" s="3" t="s">
        <v>672</v>
      </c>
      <c r="I1" s="3" t="s">
        <v>488</v>
      </c>
      <c r="J1" s="3" t="s">
        <v>673</v>
      </c>
      <c r="K1" s="3" t="s">
        <v>674</v>
      </c>
      <c r="L1" s="3" t="s">
        <v>490</v>
      </c>
      <c r="M1" s="3" t="s">
        <v>675</v>
      </c>
      <c r="N1" s="3" t="s">
        <v>492</v>
      </c>
      <c r="O1" s="3" t="s">
        <v>676</v>
      </c>
      <c r="P1" s="8" t="s">
        <v>677</v>
      </c>
      <c r="Q1" s="8" t="s">
        <v>498</v>
      </c>
      <c r="R1" s="8" t="s">
        <v>678</v>
      </c>
      <c r="S1" s="8" t="s">
        <v>679</v>
      </c>
    </row>
    <row r="2" customFormat="false" ht="15" hidden="false" customHeight="false" outlineLevel="0" collapsed="false">
      <c r="A2" s="9" t="s">
        <v>430</v>
      </c>
      <c r="B2" s="5" t="s">
        <v>680</v>
      </c>
      <c r="C2" s="5" t="s">
        <v>421</v>
      </c>
      <c r="D2" s="5"/>
      <c r="E2" s="5" t="s">
        <v>681</v>
      </c>
      <c r="F2" s="7" t="n">
        <v>10344</v>
      </c>
      <c r="G2" s="27" t="n">
        <v>112.3</v>
      </c>
      <c r="H2" s="27" t="n">
        <v>147</v>
      </c>
      <c r="I2" s="7" t="n">
        <v>6</v>
      </c>
      <c r="J2" s="27" t="n">
        <v>22.2</v>
      </c>
      <c r="K2" s="7" t="n">
        <v>9688</v>
      </c>
      <c r="L2" s="27" t="n">
        <v>119.6</v>
      </c>
      <c r="M2" s="27" t="n">
        <v>141</v>
      </c>
      <c r="N2" s="7" t="n">
        <v>7</v>
      </c>
      <c r="O2" s="27" t="n">
        <v>17.8</v>
      </c>
      <c r="P2" s="7" t="n">
        <f aca="false">F2+K2</f>
        <v>20032</v>
      </c>
      <c r="Q2" s="18" t="n">
        <f aca="false">K2/F2</f>
        <v>0.936581593194122</v>
      </c>
      <c r="R2" s="28" t="n">
        <f aca="false">J2/H2</f>
        <v>0.151020408163265</v>
      </c>
      <c r="S2" s="28" t="n">
        <f aca="false">O2/M2</f>
        <v>0.126241134751773</v>
      </c>
    </row>
    <row r="3" customFormat="false" ht="15" hidden="false" customHeight="false" outlineLevel="0" collapsed="false">
      <c r="A3" s="9" t="s">
        <v>682</v>
      </c>
      <c r="B3" s="5" t="s">
        <v>680</v>
      </c>
      <c r="C3" s="5" t="s">
        <v>421</v>
      </c>
      <c r="D3" s="5"/>
      <c r="E3" s="5" t="s">
        <v>683</v>
      </c>
      <c r="F3" s="7" t="n">
        <v>1079</v>
      </c>
      <c r="G3" s="27" t="n">
        <v>101.6</v>
      </c>
      <c r="H3" s="27" t="n">
        <v>108.2</v>
      </c>
      <c r="I3" s="7" t="n">
        <v>9</v>
      </c>
      <c r="J3" s="27" t="n">
        <v>32.7</v>
      </c>
      <c r="K3" s="7" t="n">
        <v>1215</v>
      </c>
      <c r="L3" s="27" t="n">
        <v>127.7</v>
      </c>
      <c r="M3" s="27" t="n">
        <v>124.6</v>
      </c>
      <c r="N3" s="7" t="n">
        <v>8</v>
      </c>
      <c r="O3" s="27" t="n">
        <v>30.1</v>
      </c>
      <c r="P3" s="7" t="n">
        <f aca="false">F3+K3</f>
        <v>2294</v>
      </c>
      <c r="Q3" s="18" t="n">
        <f aca="false">K3/F3</f>
        <v>1.12604263206673</v>
      </c>
      <c r="R3" s="28" t="n">
        <f aca="false">J3/H3</f>
        <v>0.302218114602588</v>
      </c>
      <c r="S3" s="28" t="n">
        <f aca="false">O3/M3</f>
        <v>0.241573033707865</v>
      </c>
    </row>
    <row r="4" customFormat="false" ht="15" hidden="false" customHeight="false" outlineLevel="0" collapsed="false">
      <c r="A4" s="9" t="s">
        <v>684</v>
      </c>
      <c r="B4" s="5" t="s">
        <v>680</v>
      </c>
      <c r="C4" s="5" t="s">
        <v>463</v>
      </c>
      <c r="D4" s="5"/>
      <c r="E4" s="5" t="s">
        <v>685</v>
      </c>
      <c r="F4" s="7" t="n">
        <v>1714</v>
      </c>
      <c r="G4" s="27" t="n">
        <v>84.2</v>
      </c>
      <c r="H4" s="27" t="n">
        <v>101.6</v>
      </c>
      <c r="I4" s="7" t="n">
        <v>9</v>
      </c>
      <c r="J4" s="27" t="n">
        <v>15.5</v>
      </c>
      <c r="K4" s="7" t="n">
        <v>2151</v>
      </c>
      <c r="L4" s="27" t="n">
        <v>109.8</v>
      </c>
      <c r="M4" s="27" t="n">
        <v>136</v>
      </c>
      <c r="N4" s="7" t="n">
        <v>7</v>
      </c>
      <c r="O4" s="27" t="n">
        <v>12.5</v>
      </c>
      <c r="P4" s="7" t="n">
        <f aca="false">F4+K4</f>
        <v>3865</v>
      </c>
      <c r="Q4" s="18" t="n">
        <f aca="false">K4/F4</f>
        <v>1.25495915985998</v>
      </c>
      <c r="R4" s="28" t="n">
        <f aca="false">J4/H4</f>
        <v>0.15255905511811</v>
      </c>
      <c r="S4" s="28" t="n">
        <f aca="false">O4/M4</f>
        <v>0.0919117647058824</v>
      </c>
    </row>
    <row r="5" customFormat="false" ht="15" hidden="false" customHeight="false" outlineLevel="0" collapsed="false">
      <c r="A5" s="9" t="s">
        <v>686</v>
      </c>
      <c r="B5" s="5" t="s">
        <v>680</v>
      </c>
      <c r="C5" s="5" t="s">
        <v>463</v>
      </c>
      <c r="D5" s="5"/>
      <c r="E5" s="5" t="s">
        <v>683</v>
      </c>
      <c r="F5" s="7" t="n">
        <v>1986</v>
      </c>
      <c r="G5" s="27" t="n">
        <v>159.4</v>
      </c>
      <c r="H5" s="27" t="n">
        <v>127.7</v>
      </c>
      <c r="I5" s="7" t="n">
        <v>7</v>
      </c>
      <c r="J5" s="27" t="n">
        <v>66.5</v>
      </c>
      <c r="K5" s="7" t="n">
        <v>1956</v>
      </c>
      <c r="L5" s="27" t="n">
        <v>139.1</v>
      </c>
      <c r="M5" s="27" t="n">
        <v>107.1</v>
      </c>
      <c r="N5" s="7" t="n">
        <v>9</v>
      </c>
      <c r="O5" s="27" t="n">
        <v>38.3</v>
      </c>
      <c r="P5" s="7" t="n">
        <f aca="false">F5+K5</f>
        <v>3942</v>
      </c>
      <c r="Q5" s="18" t="n">
        <f aca="false">K5/F5</f>
        <v>0.984894259818731</v>
      </c>
      <c r="R5" s="28" t="n">
        <f aca="false">J5/H5</f>
        <v>0.520751761942052</v>
      </c>
      <c r="S5" s="28" t="n">
        <f aca="false">O5/M5</f>
        <v>0.357609710550887</v>
      </c>
    </row>
    <row r="6" customFormat="false" ht="15" hidden="false" customHeight="false" outlineLevel="0" collapsed="false">
      <c r="A6" s="9" t="s">
        <v>687</v>
      </c>
      <c r="B6" s="5" t="s">
        <v>680</v>
      </c>
      <c r="C6" s="5" t="s">
        <v>463</v>
      </c>
      <c r="D6" s="5"/>
      <c r="E6" s="5" t="s">
        <v>683</v>
      </c>
      <c r="F6" s="7" t="n">
        <v>2701</v>
      </c>
      <c r="G6" s="27" t="n">
        <v>170.4</v>
      </c>
      <c r="H6" s="27" t="n">
        <v>137.8</v>
      </c>
      <c r="I6" s="7" t="n">
        <v>7</v>
      </c>
      <c r="J6" s="27" t="n">
        <v>57.7</v>
      </c>
      <c r="K6" s="7" t="n">
        <v>2865</v>
      </c>
      <c r="L6" s="27" t="n">
        <v>164.8</v>
      </c>
      <c r="M6" s="27" t="n">
        <v>127.3</v>
      </c>
      <c r="N6" s="7" t="n">
        <v>8</v>
      </c>
      <c r="O6" s="27" t="n">
        <v>39.5</v>
      </c>
      <c r="P6" s="7" t="n">
        <f aca="false">F6+K6</f>
        <v>5566</v>
      </c>
      <c r="Q6" s="18" t="n">
        <f aca="false">K6/F6</f>
        <v>1.06071825249907</v>
      </c>
      <c r="R6" s="28" t="n">
        <f aca="false">J6/H6</f>
        <v>0.418722786647315</v>
      </c>
      <c r="S6" s="28" t="n">
        <f aca="false">O6/M6</f>
        <v>0.310290652003142</v>
      </c>
    </row>
    <row r="7" customFormat="false" ht="15" hidden="false" customHeight="false" outlineLevel="0" collapsed="false">
      <c r="A7" s="9" t="s">
        <v>688</v>
      </c>
      <c r="B7" s="5" t="s">
        <v>680</v>
      </c>
      <c r="C7" s="5" t="s">
        <v>463</v>
      </c>
      <c r="D7" s="5"/>
      <c r="E7" s="5" t="s">
        <v>681</v>
      </c>
      <c r="F7" s="7" t="n">
        <v>4407</v>
      </c>
      <c r="G7" s="27" t="n">
        <v>96.8</v>
      </c>
      <c r="H7" s="27" t="n">
        <v>122.1</v>
      </c>
      <c r="I7" s="7" t="n">
        <v>7</v>
      </c>
      <c r="J7" s="27" t="n">
        <v>42.6</v>
      </c>
      <c r="K7" s="7" t="n">
        <v>5276</v>
      </c>
      <c r="L7" s="27" t="n">
        <v>125.1</v>
      </c>
      <c r="M7" s="27" t="n">
        <v>146.8</v>
      </c>
      <c r="N7" s="7" t="n">
        <v>6</v>
      </c>
      <c r="O7" s="27" t="n">
        <v>41.5</v>
      </c>
      <c r="P7" s="7" t="n">
        <f aca="false">F7+K7</f>
        <v>9683</v>
      </c>
      <c r="Q7" s="18" t="n">
        <f aca="false">K7/F7</f>
        <v>1.19718629453143</v>
      </c>
      <c r="R7" s="28" t="n">
        <f aca="false">J7/H7</f>
        <v>0.348894348894349</v>
      </c>
      <c r="S7" s="28" t="n">
        <f aca="false">O7/M7</f>
        <v>0.282697547683924</v>
      </c>
    </row>
    <row r="8" customFormat="false" ht="15" hidden="false" customHeight="false" outlineLevel="0" collapsed="false">
      <c r="A8" s="9" t="s">
        <v>689</v>
      </c>
      <c r="B8" s="5" t="s">
        <v>680</v>
      </c>
      <c r="C8" s="5" t="s">
        <v>463</v>
      </c>
      <c r="D8" s="5"/>
      <c r="E8" s="5" t="s">
        <v>683</v>
      </c>
      <c r="F8" s="7" t="n">
        <v>2894</v>
      </c>
      <c r="G8" s="27" t="n">
        <v>121.8</v>
      </c>
      <c r="H8" s="27" t="n">
        <v>119.9</v>
      </c>
      <c r="I8" s="7" t="n">
        <v>8</v>
      </c>
      <c r="J8" s="27" t="n">
        <v>35.7</v>
      </c>
      <c r="K8" s="7" t="n">
        <v>3361</v>
      </c>
      <c r="L8" s="27" t="n">
        <v>141.4</v>
      </c>
      <c r="M8" s="27" t="n">
        <v>132.8</v>
      </c>
      <c r="N8" s="7" t="n">
        <v>7</v>
      </c>
      <c r="O8" s="27" t="n">
        <v>28.8</v>
      </c>
      <c r="P8" s="7" t="n">
        <f aca="false">F8+K8</f>
        <v>6255</v>
      </c>
      <c r="Q8" s="18" t="n">
        <f aca="false">K8/F8</f>
        <v>1.16136834830684</v>
      </c>
      <c r="R8" s="28" t="n">
        <f aca="false">J8/H8</f>
        <v>0.297748123436197</v>
      </c>
      <c r="S8" s="28" t="n">
        <f aca="false">O8/M8</f>
        <v>0.216867469879518</v>
      </c>
    </row>
    <row r="9" customFormat="false" ht="15" hidden="false" customHeight="false" outlineLevel="0" collapsed="false">
      <c r="A9" s="9" t="s">
        <v>690</v>
      </c>
      <c r="B9" s="5" t="s">
        <v>680</v>
      </c>
      <c r="C9" s="5" t="s">
        <v>435</v>
      </c>
      <c r="D9" s="5"/>
      <c r="E9" s="5" t="s">
        <v>691</v>
      </c>
      <c r="F9" s="7" t="n">
        <v>2547</v>
      </c>
      <c r="G9" s="27" t="n">
        <v>109.9</v>
      </c>
      <c r="H9" s="27" t="n">
        <v>91.2</v>
      </c>
      <c r="I9" s="7" t="n">
        <v>10</v>
      </c>
      <c r="J9" s="27" t="n">
        <v>37.9</v>
      </c>
      <c r="K9" s="7" t="n">
        <v>2288</v>
      </c>
      <c r="L9" s="27" t="n">
        <v>105.9</v>
      </c>
      <c r="M9" s="27" t="n">
        <v>89.2</v>
      </c>
      <c r="N9" s="7" t="n">
        <v>11</v>
      </c>
      <c r="O9" s="27" t="n">
        <v>32.1</v>
      </c>
      <c r="P9" s="7" t="n">
        <f aca="false">F9+K9</f>
        <v>4835</v>
      </c>
      <c r="Q9" s="18" t="n">
        <f aca="false">K9/F9</f>
        <v>0.898311739301139</v>
      </c>
      <c r="R9" s="28" t="n">
        <f aca="false">J9/H9</f>
        <v>0.415570175438597</v>
      </c>
      <c r="S9" s="28" t="n">
        <f aca="false">O9/M9</f>
        <v>0.359865470852018</v>
      </c>
    </row>
    <row r="10" customFormat="false" ht="15" hidden="false" customHeight="false" outlineLevel="0" collapsed="false">
      <c r="A10" s="9" t="s">
        <v>692</v>
      </c>
      <c r="B10" s="5" t="s">
        <v>680</v>
      </c>
      <c r="C10" s="5" t="s">
        <v>458</v>
      </c>
      <c r="D10" s="5"/>
      <c r="E10" s="5" t="s">
        <v>683</v>
      </c>
      <c r="F10" s="7" t="n">
        <v>2916</v>
      </c>
      <c r="G10" s="27" t="n">
        <v>89.1</v>
      </c>
      <c r="H10" s="27" t="n">
        <v>98.3</v>
      </c>
      <c r="I10" s="7" t="n">
        <v>9</v>
      </c>
      <c r="J10" s="27" t="n">
        <v>27</v>
      </c>
      <c r="K10" s="7" t="n">
        <v>2205</v>
      </c>
      <c r="L10" s="27" t="n">
        <v>74.7</v>
      </c>
      <c r="M10" s="27" t="n">
        <v>76.7</v>
      </c>
      <c r="N10" s="7" t="n">
        <v>12</v>
      </c>
      <c r="O10" s="27" t="n">
        <v>16.9</v>
      </c>
      <c r="P10" s="7" t="n">
        <f aca="false">F10+K10</f>
        <v>5121</v>
      </c>
      <c r="Q10" s="18" t="n">
        <f aca="false">K10/F10</f>
        <v>0.756172839506173</v>
      </c>
      <c r="R10" s="28" t="n">
        <f aca="false">J10/H10</f>
        <v>0.274669379450661</v>
      </c>
      <c r="S10" s="28" t="n">
        <f aca="false">O10/M10</f>
        <v>0.220338983050847</v>
      </c>
    </row>
    <row r="11" customFormat="false" ht="15" hidden="false" customHeight="false" outlineLevel="0" collapsed="false">
      <c r="A11" s="9" t="s">
        <v>693</v>
      </c>
      <c r="B11" s="5" t="s">
        <v>680</v>
      </c>
      <c r="C11" s="5" t="s">
        <v>458</v>
      </c>
      <c r="D11" s="5" t="s">
        <v>694</v>
      </c>
      <c r="E11" s="5" t="s">
        <v>683</v>
      </c>
      <c r="F11" s="7" t="n">
        <v>385</v>
      </c>
      <c r="G11" s="27" t="n">
        <v>56.6</v>
      </c>
      <c r="H11" s="27" t="n">
        <v>70.9</v>
      </c>
      <c r="I11" s="7" t="n">
        <v>13</v>
      </c>
      <c r="J11" s="27" t="n">
        <v>13.5</v>
      </c>
      <c r="K11" s="7" t="n">
        <v>400</v>
      </c>
      <c r="L11" s="27" t="n">
        <v>62.9</v>
      </c>
      <c r="M11" s="27" t="n">
        <v>75.1</v>
      </c>
      <c r="N11" s="7" t="n">
        <v>12</v>
      </c>
      <c r="O11" s="27" t="n">
        <v>8.5</v>
      </c>
      <c r="P11" s="7" t="n">
        <f aca="false">F11+K11</f>
        <v>785</v>
      </c>
      <c r="Q11" s="18" t="n">
        <f aca="false">K11/F11</f>
        <v>1.03896103896104</v>
      </c>
      <c r="R11" s="28" t="n">
        <f aca="false">J11/H11</f>
        <v>0.190409026798307</v>
      </c>
      <c r="S11" s="28" t="n">
        <f aca="false">O11/M11</f>
        <v>0.113182423435419</v>
      </c>
    </row>
    <row r="12" customFormat="false" ht="15" hidden="false" customHeight="false" outlineLevel="0" collapsed="false">
      <c r="A12" s="9" t="s">
        <v>695</v>
      </c>
      <c r="B12" s="5" t="s">
        <v>680</v>
      </c>
      <c r="C12" s="5" t="s">
        <v>458</v>
      </c>
      <c r="D12" s="5" t="s">
        <v>694</v>
      </c>
      <c r="E12" s="5" t="s">
        <v>691</v>
      </c>
      <c r="F12" s="7" t="n">
        <v>909</v>
      </c>
      <c r="G12" s="27" t="n">
        <v>39.3</v>
      </c>
      <c r="H12" s="27" t="n">
        <v>39.5</v>
      </c>
      <c r="I12" s="7" t="n">
        <v>23</v>
      </c>
      <c r="J12" s="27" t="n">
        <v>10.3</v>
      </c>
      <c r="K12" s="7" t="n">
        <v>1117</v>
      </c>
      <c r="L12" s="27" t="n">
        <v>52.8</v>
      </c>
      <c r="M12" s="27" t="n">
        <v>49.4</v>
      </c>
      <c r="N12" s="7" t="n">
        <v>19</v>
      </c>
      <c r="O12" s="27" t="n">
        <v>10.4</v>
      </c>
      <c r="P12" s="7" t="n">
        <f aca="false">F12+K12</f>
        <v>2026</v>
      </c>
      <c r="Q12" s="18" t="n">
        <f aca="false">K12/F12</f>
        <v>1.22882288228823</v>
      </c>
      <c r="R12" s="28" t="n">
        <f aca="false">J12/H12</f>
        <v>0.260759493670886</v>
      </c>
      <c r="S12" s="28" t="n">
        <f aca="false">O12/M12</f>
        <v>0.210526315789474</v>
      </c>
    </row>
    <row r="13" customFormat="false" ht="15" hidden="false" customHeight="false" outlineLevel="0" collapsed="false">
      <c r="A13" s="9" t="s">
        <v>696</v>
      </c>
      <c r="B13" s="5" t="s">
        <v>680</v>
      </c>
      <c r="C13" s="5" t="s">
        <v>458</v>
      </c>
      <c r="D13" s="5" t="s">
        <v>694</v>
      </c>
      <c r="E13" s="5" t="s">
        <v>683</v>
      </c>
      <c r="F13" s="7" t="n">
        <v>145</v>
      </c>
      <c r="G13" s="27" t="n">
        <v>53.9</v>
      </c>
      <c r="H13" s="27" t="n">
        <v>50.6</v>
      </c>
      <c r="I13" s="7" t="n">
        <v>17</v>
      </c>
      <c r="J13" s="27" t="n">
        <v>35</v>
      </c>
      <c r="K13" s="7" t="n">
        <v>163</v>
      </c>
      <c r="L13" s="27" t="n">
        <v>67.2</v>
      </c>
      <c r="M13" s="27" t="n">
        <v>61</v>
      </c>
      <c r="N13" s="7" t="n">
        <v>15</v>
      </c>
      <c r="O13" s="27" t="n">
        <v>36.1</v>
      </c>
      <c r="P13" s="7" t="n">
        <f aca="false">F13+K13</f>
        <v>308</v>
      </c>
      <c r="Q13" s="18" t="n">
        <f aca="false">K13/F13</f>
        <v>1.12413793103448</v>
      </c>
      <c r="R13" s="28" t="n">
        <f aca="false">J13/H13</f>
        <v>0.691699604743083</v>
      </c>
      <c r="S13" s="28" t="n">
        <f aca="false">O13/M13</f>
        <v>0.591803278688525</v>
      </c>
    </row>
    <row r="14" customFormat="false" ht="15" hidden="false" customHeight="false" outlineLevel="0" collapsed="false">
      <c r="A14" s="9" t="s">
        <v>697</v>
      </c>
      <c r="B14" s="5" t="s">
        <v>680</v>
      </c>
      <c r="C14" s="5" t="s">
        <v>458</v>
      </c>
      <c r="D14" s="5" t="s">
        <v>694</v>
      </c>
      <c r="E14" s="5" t="s">
        <v>691</v>
      </c>
      <c r="F14" s="7" t="n">
        <v>6564</v>
      </c>
      <c r="G14" s="27" t="n">
        <v>97.3</v>
      </c>
      <c r="H14" s="27" t="n">
        <v>108.4</v>
      </c>
      <c r="I14" s="7" t="n">
        <v>9</v>
      </c>
      <c r="J14" s="27" t="n">
        <v>66</v>
      </c>
      <c r="K14" s="7" t="n">
        <v>6865</v>
      </c>
      <c r="L14" s="27" t="n">
        <v>117.6</v>
      </c>
      <c r="M14" s="27" t="n">
        <v>116.2</v>
      </c>
      <c r="N14" s="7" t="n">
        <v>8</v>
      </c>
      <c r="O14" s="27" t="n">
        <v>61.4</v>
      </c>
      <c r="P14" s="7" t="n">
        <f aca="false">F14+K14</f>
        <v>13429</v>
      </c>
      <c r="Q14" s="18" t="n">
        <f aca="false">K14/F14</f>
        <v>1.04585618525289</v>
      </c>
      <c r="R14" s="28" t="n">
        <f aca="false">J14/H14</f>
        <v>0.608856088560886</v>
      </c>
      <c r="S14" s="28" t="n">
        <f aca="false">O14/M14</f>
        <v>0.528399311531842</v>
      </c>
    </row>
    <row r="15" customFormat="false" ht="15" hidden="false" customHeight="false" outlineLevel="0" collapsed="false">
      <c r="A15" s="9" t="s">
        <v>698</v>
      </c>
      <c r="B15" s="5" t="s">
        <v>680</v>
      </c>
      <c r="C15" s="5" t="s">
        <v>458</v>
      </c>
      <c r="D15" s="5" t="s">
        <v>694</v>
      </c>
      <c r="E15" s="5" t="s">
        <v>683</v>
      </c>
      <c r="F15" s="7" t="n">
        <v>1937</v>
      </c>
      <c r="G15" s="27" t="n">
        <v>67.5</v>
      </c>
      <c r="H15" s="27" t="n">
        <v>83</v>
      </c>
      <c r="I15" s="7" t="n">
        <v>11</v>
      </c>
      <c r="J15" s="27" t="n">
        <v>35.3</v>
      </c>
      <c r="K15" s="7" t="n">
        <v>2164</v>
      </c>
      <c r="L15" s="27" t="n">
        <v>83.3</v>
      </c>
      <c r="M15" s="27" t="n">
        <v>94</v>
      </c>
      <c r="N15" s="7" t="n">
        <v>10</v>
      </c>
      <c r="O15" s="27" t="n">
        <v>35.3</v>
      </c>
      <c r="P15" s="7" t="n">
        <f aca="false">F15+K15</f>
        <v>4101</v>
      </c>
      <c r="Q15" s="18" t="n">
        <f aca="false">K15/F15</f>
        <v>1.11719153329892</v>
      </c>
      <c r="R15" s="28" t="n">
        <f aca="false">J15/H15</f>
        <v>0.425301204819277</v>
      </c>
      <c r="S15" s="28" t="n">
        <f aca="false">O15/M15</f>
        <v>0.375531914893617</v>
      </c>
    </row>
    <row r="16" customFormat="false" ht="15" hidden="false" customHeight="false" outlineLevel="0" collapsed="false">
      <c r="A16" s="9" t="s">
        <v>699</v>
      </c>
      <c r="B16" s="5" t="s">
        <v>680</v>
      </c>
      <c r="C16" s="5" t="s">
        <v>432</v>
      </c>
      <c r="D16" s="5" t="s">
        <v>694</v>
      </c>
      <c r="E16" s="5" t="s">
        <v>683</v>
      </c>
      <c r="F16" s="7" t="n">
        <v>478</v>
      </c>
      <c r="G16" s="27" t="n">
        <v>70.4</v>
      </c>
      <c r="H16" s="27" t="n">
        <v>64.5</v>
      </c>
      <c r="I16" s="7" t="n">
        <v>14</v>
      </c>
      <c r="J16" s="27" t="n">
        <v>42.3</v>
      </c>
      <c r="K16" s="7" t="n">
        <v>507</v>
      </c>
      <c r="L16" s="27" t="n">
        <v>78.7</v>
      </c>
      <c r="M16" s="27" t="n">
        <v>69.9</v>
      </c>
      <c r="N16" s="7" t="n">
        <v>14</v>
      </c>
      <c r="O16" s="27" t="n">
        <v>37.1</v>
      </c>
      <c r="P16" s="7" t="n">
        <f aca="false">F16+K16</f>
        <v>985</v>
      </c>
      <c r="Q16" s="18" t="n">
        <f aca="false">K16/F16</f>
        <v>1.06066945606695</v>
      </c>
      <c r="R16" s="28" t="n">
        <f aca="false">J16/H16</f>
        <v>0.655813953488372</v>
      </c>
      <c r="S16" s="28" t="n">
        <f aca="false">O16/M16</f>
        <v>0.530758226037196</v>
      </c>
    </row>
    <row r="17" customFormat="false" ht="15" hidden="false" customHeight="false" outlineLevel="0" collapsed="false">
      <c r="A17" s="9" t="s">
        <v>700</v>
      </c>
      <c r="B17" s="5" t="s">
        <v>680</v>
      </c>
      <c r="C17" s="5" t="s">
        <v>432</v>
      </c>
      <c r="D17" s="5"/>
      <c r="E17" s="5" t="s">
        <v>691</v>
      </c>
      <c r="F17" s="7" t="n">
        <v>892</v>
      </c>
      <c r="G17" s="27" t="n">
        <v>83.3</v>
      </c>
      <c r="H17" s="27" t="n">
        <v>101</v>
      </c>
      <c r="I17" s="7" t="n">
        <v>9</v>
      </c>
      <c r="J17" s="27" t="n">
        <v>38.3</v>
      </c>
      <c r="K17" s="7" t="n">
        <v>897</v>
      </c>
      <c r="L17" s="27" t="n">
        <v>90.4</v>
      </c>
      <c r="M17" s="27" t="n">
        <v>106.9</v>
      </c>
      <c r="N17" s="7" t="n">
        <v>8</v>
      </c>
      <c r="O17" s="27" t="n">
        <v>30.9</v>
      </c>
      <c r="P17" s="7" t="n">
        <f aca="false">F17+K17</f>
        <v>1789</v>
      </c>
      <c r="Q17" s="18" t="n">
        <f aca="false">K17/F17</f>
        <v>1.00560538116592</v>
      </c>
      <c r="R17" s="28" t="n">
        <f aca="false">J17/H17</f>
        <v>0.379207920792079</v>
      </c>
      <c r="S17" s="28" t="n">
        <f aca="false">O17/M17</f>
        <v>0.289055191768008</v>
      </c>
    </row>
    <row r="18" customFormat="false" ht="15" hidden="false" customHeight="false" outlineLevel="0" collapsed="false">
      <c r="A18" s="9" t="s">
        <v>701</v>
      </c>
      <c r="B18" s="5" t="s">
        <v>680</v>
      </c>
      <c r="C18" s="5" t="s">
        <v>432</v>
      </c>
      <c r="D18" s="5" t="s">
        <v>694</v>
      </c>
      <c r="E18" s="5" t="s">
        <v>683</v>
      </c>
      <c r="F18" s="7" t="n">
        <v>1190</v>
      </c>
      <c r="G18" s="27" t="n">
        <v>89</v>
      </c>
      <c r="H18" s="27" t="n">
        <v>91.1</v>
      </c>
      <c r="I18" s="7" t="n">
        <v>10</v>
      </c>
      <c r="J18" s="27" t="n">
        <v>21.3</v>
      </c>
      <c r="K18" s="7" t="n">
        <v>1209</v>
      </c>
      <c r="L18" s="27" t="n">
        <v>93.1</v>
      </c>
      <c r="M18" s="27" t="n">
        <v>89.8</v>
      </c>
      <c r="N18" s="7" t="n">
        <v>11</v>
      </c>
      <c r="O18" s="27" t="n">
        <v>17.7</v>
      </c>
      <c r="P18" s="7" t="n">
        <f aca="false">F18+K18</f>
        <v>2399</v>
      </c>
      <c r="Q18" s="18" t="n">
        <f aca="false">K18/F18</f>
        <v>1.01596638655462</v>
      </c>
      <c r="R18" s="28" t="n">
        <f aca="false">J18/H18</f>
        <v>0.233809001097695</v>
      </c>
      <c r="S18" s="28" t="n">
        <f aca="false">O18/M18</f>
        <v>0.197104677060134</v>
      </c>
    </row>
    <row r="19" customFormat="false" ht="15" hidden="false" customHeight="false" outlineLevel="0" collapsed="false">
      <c r="A19" s="9" t="s">
        <v>444</v>
      </c>
      <c r="B19" s="5" t="s">
        <v>680</v>
      </c>
      <c r="C19" s="5" t="s">
        <v>437</v>
      </c>
      <c r="D19" s="5"/>
      <c r="E19" s="5" t="s">
        <v>683</v>
      </c>
      <c r="F19" s="7" t="n">
        <v>740</v>
      </c>
      <c r="G19" s="27" t="n">
        <v>47</v>
      </c>
      <c r="H19" s="27" t="n">
        <v>62.8</v>
      </c>
      <c r="I19" s="7" t="n">
        <v>14</v>
      </c>
      <c r="J19" s="27" t="n">
        <v>20.5</v>
      </c>
      <c r="K19" s="7" t="n">
        <v>900</v>
      </c>
      <c r="L19" s="27" t="n">
        <v>57.8</v>
      </c>
      <c r="M19" s="27" t="n">
        <v>71.1</v>
      </c>
      <c r="N19" s="7" t="n">
        <v>12</v>
      </c>
      <c r="O19" s="27" t="n">
        <v>17.3</v>
      </c>
      <c r="P19" s="7" t="n">
        <f aca="false">F19+K19</f>
        <v>1640</v>
      </c>
      <c r="Q19" s="18" t="n">
        <f aca="false">K19/F19</f>
        <v>1.21621621621622</v>
      </c>
      <c r="R19" s="28" t="n">
        <f aca="false">J19/H19</f>
        <v>0.326433121019108</v>
      </c>
      <c r="S19" s="28" t="n">
        <f aca="false">O19/M19</f>
        <v>0.243319268635724</v>
      </c>
    </row>
    <row r="20" customFormat="false" ht="28.35" hidden="false" customHeight="false" outlineLevel="0" collapsed="false">
      <c r="A20" s="5" t="s">
        <v>702</v>
      </c>
      <c r="B20" s="5" t="s">
        <v>703</v>
      </c>
      <c r="C20" s="5" t="s">
        <v>437</v>
      </c>
      <c r="D20" s="5"/>
      <c r="E20" s="5" t="s">
        <v>683</v>
      </c>
      <c r="F20" s="7" t="n">
        <v>227</v>
      </c>
      <c r="G20" s="27" t="n">
        <v>85.1</v>
      </c>
      <c r="H20" s="27" t="n">
        <v>95.3</v>
      </c>
      <c r="I20" s="7" t="n">
        <v>9</v>
      </c>
      <c r="J20" s="27" t="n">
        <v>29.6</v>
      </c>
      <c r="K20" s="7" t="n">
        <v>300</v>
      </c>
      <c r="L20" s="27" t="n">
        <v>107.9</v>
      </c>
      <c r="M20" s="27" t="n">
        <v>110.9</v>
      </c>
      <c r="N20" s="7" t="n">
        <v>8</v>
      </c>
      <c r="O20" s="27" t="n">
        <v>24.3</v>
      </c>
      <c r="P20" s="7" t="n">
        <f aca="false">F20+K20</f>
        <v>527</v>
      </c>
      <c r="Q20" s="18" t="n">
        <f aca="false">K20/F20</f>
        <v>1.3215859030837</v>
      </c>
      <c r="R20" s="28" t="n">
        <f aca="false">J20/H20</f>
        <v>0.310598111227702</v>
      </c>
      <c r="S20" s="28" t="n">
        <f aca="false">O20/M20</f>
        <v>0.219116321009919</v>
      </c>
    </row>
    <row r="21" customFormat="false" ht="15" hidden="false" customHeight="false" outlineLevel="0" collapsed="false">
      <c r="A21" s="9" t="s">
        <v>446</v>
      </c>
      <c r="B21" s="5" t="s">
        <v>680</v>
      </c>
      <c r="C21" s="5" t="s">
        <v>437</v>
      </c>
      <c r="D21" s="5"/>
      <c r="E21" s="5" t="s">
        <v>683</v>
      </c>
      <c r="F21" s="7" t="n">
        <v>865</v>
      </c>
      <c r="G21" s="27" t="n">
        <v>146.1</v>
      </c>
      <c r="H21" s="27" t="n">
        <v>207</v>
      </c>
      <c r="I21" s="7" t="n">
        <v>5</v>
      </c>
      <c r="J21" s="27" t="n">
        <v>121.4</v>
      </c>
      <c r="K21" s="7" t="n">
        <v>747</v>
      </c>
      <c r="L21" s="27" t="n">
        <v>127.5</v>
      </c>
      <c r="M21" s="27" t="n">
        <v>172.3</v>
      </c>
      <c r="N21" s="7" t="n">
        <v>5</v>
      </c>
      <c r="O21" s="27" t="n">
        <v>76.4</v>
      </c>
      <c r="P21" s="7" t="n">
        <f aca="false">F21+K21</f>
        <v>1612</v>
      </c>
      <c r="Q21" s="18" t="n">
        <f aca="false">K21/F21</f>
        <v>0.863583815028902</v>
      </c>
      <c r="R21" s="28" t="n">
        <f aca="false">J21/H21</f>
        <v>0.586473429951691</v>
      </c>
      <c r="S21" s="28" t="n">
        <f aca="false">O21/M21</f>
        <v>0.443412652350551</v>
      </c>
    </row>
    <row r="22" customFormat="false" ht="28.35" hidden="false" customHeight="false" outlineLevel="0" collapsed="false">
      <c r="A22" s="5" t="s">
        <v>704</v>
      </c>
      <c r="B22" s="5" t="s">
        <v>705</v>
      </c>
      <c r="C22" s="5" t="s">
        <v>437</v>
      </c>
      <c r="D22" s="5"/>
      <c r="E22" s="5" t="s">
        <v>683</v>
      </c>
      <c r="F22" s="7" t="n">
        <v>436</v>
      </c>
      <c r="G22" s="27" t="n">
        <v>206.2</v>
      </c>
      <c r="H22" s="27" t="n">
        <v>269.4</v>
      </c>
      <c r="I22" s="7" t="n">
        <v>4</v>
      </c>
      <c r="J22" s="27" t="n">
        <v>152.7</v>
      </c>
      <c r="K22" s="7" t="n">
        <v>380</v>
      </c>
      <c r="L22" s="27" t="n">
        <v>174.6</v>
      </c>
      <c r="M22" s="27" t="n">
        <v>214.1</v>
      </c>
      <c r="N22" s="7" t="n">
        <v>5</v>
      </c>
      <c r="O22" s="27" t="n">
        <v>89.5</v>
      </c>
      <c r="P22" s="7" t="n">
        <f aca="false">F22+K22</f>
        <v>816</v>
      </c>
      <c r="Q22" s="18" t="n">
        <f aca="false">K22/F22</f>
        <v>0.871559633027523</v>
      </c>
      <c r="R22" s="28" t="n">
        <f aca="false">J22/H22</f>
        <v>0.566815144766147</v>
      </c>
      <c r="S22" s="28" t="n">
        <f aca="false">O22/M22</f>
        <v>0.41802895843064</v>
      </c>
    </row>
    <row r="23" customFormat="false" ht="15" hidden="false" customHeight="false" outlineLevel="0" collapsed="false">
      <c r="A23" s="9" t="s">
        <v>438</v>
      </c>
      <c r="B23" s="5" t="s">
        <v>680</v>
      </c>
      <c r="C23" s="5" t="s">
        <v>437</v>
      </c>
      <c r="D23" s="5"/>
      <c r="E23" s="5" t="s">
        <v>683</v>
      </c>
      <c r="F23" s="7" t="n">
        <v>234</v>
      </c>
      <c r="G23" s="27" t="n">
        <v>69.9</v>
      </c>
      <c r="H23" s="27" t="n">
        <v>88.7</v>
      </c>
      <c r="I23" s="7" t="n">
        <v>10</v>
      </c>
      <c r="J23" s="27" t="n">
        <v>46.4</v>
      </c>
      <c r="K23" s="7" t="n">
        <v>226</v>
      </c>
      <c r="L23" s="27" t="n">
        <v>75.3</v>
      </c>
      <c r="M23" s="27" t="n">
        <v>97</v>
      </c>
      <c r="N23" s="7" t="n">
        <v>10</v>
      </c>
      <c r="O23" s="27" t="n">
        <v>46.2</v>
      </c>
      <c r="P23" s="7" t="n">
        <f aca="false">F23+K23</f>
        <v>460</v>
      </c>
      <c r="Q23" s="18" t="n">
        <f aca="false">K23/F23</f>
        <v>0.965811965811966</v>
      </c>
      <c r="R23" s="28" t="n">
        <f aca="false">J23/H23</f>
        <v>0.523111612175874</v>
      </c>
      <c r="S23" s="28" t="n">
        <f aca="false">O23/M23</f>
        <v>0.476288659793814</v>
      </c>
    </row>
    <row r="24" customFormat="false" ht="15" hidden="false" customHeight="false" outlineLevel="0" collapsed="false">
      <c r="A24" s="9" t="s">
        <v>448</v>
      </c>
      <c r="B24" s="5" t="s">
        <v>680</v>
      </c>
      <c r="C24" s="5" t="s">
        <v>437</v>
      </c>
      <c r="D24" s="5"/>
      <c r="E24" s="5" t="s">
        <v>683</v>
      </c>
      <c r="F24" s="7" t="n">
        <v>1312</v>
      </c>
      <c r="G24" s="27" t="n">
        <v>67</v>
      </c>
      <c r="H24" s="27" t="n">
        <v>80.9</v>
      </c>
      <c r="I24" s="7" t="n">
        <v>11</v>
      </c>
      <c r="J24" s="27" t="n">
        <v>46</v>
      </c>
      <c r="K24" s="7" t="n">
        <v>983</v>
      </c>
      <c r="L24" s="27" t="n">
        <v>52</v>
      </c>
      <c r="M24" s="27" t="n">
        <v>58.3</v>
      </c>
      <c r="N24" s="7" t="n">
        <v>16</v>
      </c>
      <c r="O24" s="27" t="n">
        <v>28.9</v>
      </c>
      <c r="P24" s="7" t="n">
        <f aca="false">F24+K24</f>
        <v>2295</v>
      </c>
      <c r="Q24" s="18" t="n">
        <f aca="false">K24/F24</f>
        <v>0.749237804878049</v>
      </c>
      <c r="R24" s="28" t="n">
        <f aca="false">J24/H24</f>
        <v>0.568603213844252</v>
      </c>
      <c r="S24" s="28" t="n">
        <f aca="false">O24/M24</f>
        <v>0.495711835334477</v>
      </c>
    </row>
    <row r="25" customFormat="false" ht="15" hidden="false" customHeight="false" outlineLevel="0" collapsed="false">
      <c r="A25" s="9" t="s">
        <v>706</v>
      </c>
      <c r="B25" s="5" t="s">
        <v>680</v>
      </c>
      <c r="C25" s="5" t="s">
        <v>437</v>
      </c>
      <c r="D25" s="5"/>
      <c r="E25" s="5" t="s">
        <v>683</v>
      </c>
      <c r="F25" s="7" t="n">
        <v>244</v>
      </c>
      <c r="G25" s="27" t="n">
        <v>56.6</v>
      </c>
      <c r="H25" s="27" t="n">
        <v>101.1</v>
      </c>
      <c r="I25" s="7" t="n">
        <v>8</v>
      </c>
      <c r="J25" s="27" t="n">
        <v>27.3</v>
      </c>
      <c r="K25" s="7" t="n">
        <v>234</v>
      </c>
      <c r="L25" s="27" t="n">
        <v>56.3</v>
      </c>
      <c r="M25" s="27" t="n">
        <v>96.3</v>
      </c>
      <c r="N25" s="7" t="n">
        <v>10</v>
      </c>
      <c r="O25" s="27" t="n">
        <v>18.9</v>
      </c>
      <c r="P25" s="7" t="n">
        <f aca="false">F25+K25</f>
        <v>478</v>
      </c>
      <c r="Q25" s="18" t="n">
        <f aca="false">K25/F25</f>
        <v>0.959016393442623</v>
      </c>
      <c r="R25" s="28" t="n">
        <f aca="false">J25/H25</f>
        <v>0.270029673590504</v>
      </c>
      <c r="S25" s="28" t="n">
        <f aca="false">O25/M25</f>
        <v>0.196261682242991</v>
      </c>
    </row>
    <row r="26" customFormat="false" ht="28.35" hidden="false" customHeight="false" outlineLevel="0" collapsed="false">
      <c r="A26" s="5" t="s">
        <v>707</v>
      </c>
      <c r="B26" s="5" t="s">
        <v>708</v>
      </c>
      <c r="C26" s="5" t="s">
        <v>437</v>
      </c>
      <c r="D26" s="5"/>
      <c r="E26" s="5" t="s">
        <v>683</v>
      </c>
      <c r="F26" s="7" t="n">
        <v>94</v>
      </c>
      <c r="G26" s="27" t="n">
        <v>94.8</v>
      </c>
      <c r="H26" s="27" t="n">
        <v>201.2</v>
      </c>
      <c r="I26" s="7" t="n">
        <v>4</v>
      </c>
      <c r="J26" s="27" t="n">
        <v>56.5</v>
      </c>
      <c r="K26" s="7" t="n">
        <v>106</v>
      </c>
      <c r="L26" s="27" t="n">
        <v>105.1</v>
      </c>
      <c r="M26" s="27" t="n">
        <v>219.8</v>
      </c>
      <c r="N26" s="7" t="n">
        <v>4</v>
      </c>
      <c r="O26" s="27" t="n">
        <v>37.9</v>
      </c>
      <c r="P26" s="7" t="n">
        <f aca="false">F26+K26</f>
        <v>200</v>
      </c>
      <c r="Q26" s="18" t="n">
        <f aca="false">K26/F26</f>
        <v>1.12765957446809</v>
      </c>
      <c r="R26" s="28" t="n">
        <f aca="false">J26/H26</f>
        <v>0.280815109343936</v>
      </c>
      <c r="S26" s="28" t="n">
        <f aca="false">O26/M26</f>
        <v>0.172429481346679</v>
      </c>
    </row>
    <row r="27" customFormat="false" ht="15" hidden="false" customHeight="false" outlineLevel="0" collapsed="false">
      <c r="A27" s="9" t="s">
        <v>449</v>
      </c>
      <c r="B27" s="5" t="s">
        <v>680</v>
      </c>
      <c r="C27" s="5" t="s">
        <v>437</v>
      </c>
      <c r="D27" s="5"/>
      <c r="E27" s="5" t="s">
        <v>683</v>
      </c>
      <c r="F27" s="7" t="n">
        <v>938</v>
      </c>
      <c r="G27" s="27" t="n">
        <v>92.6</v>
      </c>
      <c r="H27" s="27" t="n">
        <v>176.8</v>
      </c>
      <c r="I27" s="7" t="n">
        <v>5</v>
      </c>
      <c r="J27" s="27" t="n">
        <v>71.7</v>
      </c>
      <c r="K27" s="7" t="n">
        <v>566</v>
      </c>
      <c r="L27" s="27" t="n">
        <v>55.7</v>
      </c>
      <c r="M27" s="27" t="n">
        <v>96.5</v>
      </c>
      <c r="N27" s="7" t="n">
        <v>9</v>
      </c>
      <c r="O27" s="27" t="n">
        <v>38.1</v>
      </c>
      <c r="P27" s="7" t="n">
        <f aca="false">F27+K27</f>
        <v>1504</v>
      </c>
      <c r="Q27" s="18" t="n">
        <f aca="false">K27/F27</f>
        <v>0.603411513859275</v>
      </c>
      <c r="R27" s="28" t="n">
        <f aca="false">J27/H27</f>
        <v>0.405542986425339</v>
      </c>
      <c r="S27" s="28" t="n">
        <f aca="false">O27/M27</f>
        <v>0.394818652849741</v>
      </c>
    </row>
    <row r="28" customFormat="false" ht="28.35" hidden="false" customHeight="false" outlineLevel="0" collapsed="false">
      <c r="A28" s="5" t="s">
        <v>709</v>
      </c>
      <c r="B28" s="5" t="s">
        <v>710</v>
      </c>
      <c r="C28" s="5" t="s">
        <v>437</v>
      </c>
      <c r="D28" s="5"/>
      <c r="E28" s="5" t="s">
        <v>683</v>
      </c>
      <c r="F28" s="7" t="n">
        <v>577</v>
      </c>
      <c r="G28" s="27" t="n">
        <v>131</v>
      </c>
      <c r="H28" s="27" t="n">
        <v>227.9</v>
      </c>
      <c r="I28" s="7" t="n">
        <v>4</v>
      </c>
      <c r="J28" s="27" t="n">
        <v>95</v>
      </c>
      <c r="K28" s="7" t="n">
        <v>346</v>
      </c>
      <c r="L28" s="27" t="n">
        <v>76.9</v>
      </c>
      <c r="M28" s="27" t="n">
        <v>118.6</v>
      </c>
      <c r="N28" s="7" t="n">
        <v>8</v>
      </c>
      <c r="O28" s="27" t="n">
        <v>51.5</v>
      </c>
      <c r="P28" s="7" t="n">
        <f aca="false">F28+K28</f>
        <v>923</v>
      </c>
      <c r="Q28" s="18" t="n">
        <f aca="false">K28/F28</f>
        <v>0.599653379549394</v>
      </c>
      <c r="R28" s="28" t="n">
        <f aca="false">J28/H28</f>
        <v>0.416849495392716</v>
      </c>
      <c r="S28" s="28" t="n">
        <f aca="false">O28/M28</f>
        <v>0.434232715008432</v>
      </c>
    </row>
    <row r="29" customFormat="false" ht="15" hidden="false" customHeight="false" outlineLevel="0" collapsed="false">
      <c r="A29" s="9" t="s">
        <v>441</v>
      </c>
      <c r="B29" s="5" t="s">
        <v>680</v>
      </c>
      <c r="C29" s="5" t="s">
        <v>437</v>
      </c>
      <c r="D29" s="5"/>
      <c r="E29" s="5" t="s">
        <v>683</v>
      </c>
      <c r="F29" s="7" t="n">
        <v>281</v>
      </c>
      <c r="G29" s="27" t="n">
        <v>74.5</v>
      </c>
      <c r="H29" s="27" t="n">
        <v>124.5</v>
      </c>
      <c r="I29" s="7" t="n">
        <v>7</v>
      </c>
      <c r="J29" s="27" t="n">
        <v>27.8</v>
      </c>
      <c r="K29" s="7" t="n">
        <v>198</v>
      </c>
      <c r="L29" s="27" t="n">
        <v>56.3</v>
      </c>
      <c r="M29" s="27" t="n">
        <v>88.2</v>
      </c>
      <c r="N29" s="7" t="n">
        <v>10</v>
      </c>
      <c r="O29" s="27" t="n">
        <v>11.1</v>
      </c>
      <c r="P29" s="7" t="n">
        <f aca="false">F29+K29</f>
        <v>479</v>
      </c>
      <c r="Q29" s="18" t="n">
        <f aca="false">K29/F29</f>
        <v>0.704626334519573</v>
      </c>
      <c r="R29" s="28" t="n">
        <f aca="false">J29/H29</f>
        <v>0.223293172690763</v>
      </c>
      <c r="S29" s="28" t="n">
        <f aca="false">O29/M29</f>
        <v>0.125850340136054</v>
      </c>
    </row>
    <row r="30" customFormat="false" ht="15" hidden="false" customHeight="false" outlineLevel="0" collapsed="false">
      <c r="A30" s="9" t="s">
        <v>711</v>
      </c>
      <c r="B30" s="5" t="s">
        <v>680</v>
      </c>
      <c r="C30" s="5" t="s">
        <v>437</v>
      </c>
      <c r="D30" s="5"/>
      <c r="E30" s="5" t="s">
        <v>683</v>
      </c>
      <c r="F30" s="7" t="n">
        <v>64</v>
      </c>
      <c r="G30" s="27" t="n">
        <v>90.7</v>
      </c>
      <c r="H30" s="27" t="n">
        <v>120.4</v>
      </c>
      <c r="I30" s="7" t="n">
        <v>7</v>
      </c>
      <c r="J30" s="27" t="n">
        <v>30.9</v>
      </c>
      <c r="K30" s="7" t="n">
        <v>61</v>
      </c>
      <c r="L30" s="27" t="n">
        <v>88.1</v>
      </c>
      <c r="M30" s="27" t="n">
        <v>116.2</v>
      </c>
      <c r="N30" s="7" t="n">
        <v>8</v>
      </c>
      <c r="O30" s="27" t="n">
        <v>22</v>
      </c>
      <c r="P30" s="7" t="n">
        <f aca="false">F30+K30</f>
        <v>125</v>
      </c>
      <c r="Q30" s="18" t="n">
        <f aca="false">K30/F30</f>
        <v>0.953125</v>
      </c>
      <c r="R30" s="28" t="n">
        <f aca="false">J30/H30</f>
        <v>0.256644518272425</v>
      </c>
      <c r="S30" s="28" t="n">
        <f aca="false">O30/M30</f>
        <v>0.189328743545611</v>
      </c>
    </row>
    <row r="31" customFormat="false" ht="15" hidden="false" customHeight="false" outlineLevel="0" collapsed="false">
      <c r="A31" s="9" t="s">
        <v>712</v>
      </c>
      <c r="B31" s="5" t="s">
        <v>680</v>
      </c>
      <c r="C31" s="5" t="s">
        <v>437</v>
      </c>
      <c r="D31" s="5"/>
      <c r="E31" s="5" t="s">
        <v>683</v>
      </c>
      <c r="F31" s="7" t="n">
        <v>933</v>
      </c>
      <c r="G31" s="27" t="n">
        <v>99.2</v>
      </c>
      <c r="H31" s="27" t="n">
        <v>129</v>
      </c>
      <c r="I31" s="7" t="n">
        <v>7</v>
      </c>
      <c r="J31" s="27" t="n">
        <v>25.2</v>
      </c>
      <c r="K31" s="7" t="n">
        <v>789</v>
      </c>
      <c r="L31" s="27" t="n">
        <v>87</v>
      </c>
      <c r="M31" s="27" t="n">
        <v>104.8</v>
      </c>
      <c r="N31" s="7" t="n">
        <v>9</v>
      </c>
      <c r="O31" s="27" t="n">
        <v>17.5</v>
      </c>
      <c r="P31" s="7" t="n">
        <f aca="false">F31+K31</f>
        <v>1722</v>
      </c>
      <c r="Q31" s="18" t="n">
        <f aca="false">K31/F31</f>
        <v>0.845659163987138</v>
      </c>
      <c r="R31" s="28" t="n">
        <f aca="false">J31/H31</f>
        <v>0.195348837209302</v>
      </c>
      <c r="S31" s="28" t="n">
        <f aca="false">O31/M31</f>
        <v>0.166984732824428</v>
      </c>
    </row>
    <row r="32" customFormat="false" ht="15" hidden="false" customHeight="false" outlineLevel="0" collapsed="false">
      <c r="A32" s="9" t="s">
        <v>713</v>
      </c>
      <c r="B32" s="5" t="s">
        <v>680</v>
      </c>
      <c r="C32" s="5" t="s">
        <v>437</v>
      </c>
      <c r="D32" s="5"/>
      <c r="E32" s="5" t="s">
        <v>683</v>
      </c>
      <c r="F32" s="7" t="n">
        <v>507</v>
      </c>
      <c r="G32" s="27" t="n">
        <v>72.5</v>
      </c>
      <c r="H32" s="27" t="n">
        <v>91.9</v>
      </c>
      <c r="I32" s="7" t="n">
        <v>9</v>
      </c>
      <c r="J32" s="27" t="n">
        <v>24</v>
      </c>
      <c r="K32" s="7" t="n">
        <v>448</v>
      </c>
      <c r="L32" s="27" t="n">
        <v>66</v>
      </c>
      <c r="M32" s="27" t="n">
        <v>76.8</v>
      </c>
      <c r="N32" s="7" t="n">
        <v>12</v>
      </c>
      <c r="O32" s="27" t="n">
        <v>14.1</v>
      </c>
      <c r="P32" s="7" t="n">
        <f aca="false">F32+K32</f>
        <v>955</v>
      </c>
      <c r="Q32" s="18" t="n">
        <f aca="false">K32/F32</f>
        <v>0.883629191321499</v>
      </c>
      <c r="R32" s="28" t="n">
        <f aca="false">J32/H32</f>
        <v>0.261153427638738</v>
      </c>
      <c r="S32" s="28" t="n">
        <f aca="false">O32/M32</f>
        <v>0.18359375</v>
      </c>
    </row>
    <row r="33" customFormat="false" ht="15" hidden="false" customHeight="false" outlineLevel="0" collapsed="false">
      <c r="A33" s="9" t="s">
        <v>714</v>
      </c>
      <c r="B33" s="5" t="s">
        <v>680</v>
      </c>
      <c r="C33" s="5" t="s">
        <v>437</v>
      </c>
      <c r="D33" s="5"/>
      <c r="E33" s="5" t="s">
        <v>683</v>
      </c>
      <c r="F33" s="7" t="n">
        <v>1245</v>
      </c>
      <c r="G33" s="27" t="n">
        <v>190.5</v>
      </c>
      <c r="H33" s="27" t="n">
        <v>213</v>
      </c>
      <c r="I33" s="7" t="n">
        <v>4</v>
      </c>
      <c r="J33" s="27" t="n">
        <v>66.7</v>
      </c>
      <c r="K33" s="7" t="n">
        <v>958</v>
      </c>
      <c r="L33" s="27" t="n">
        <v>150.8</v>
      </c>
      <c r="M33" s="27" t="n">
        <v>169.6</v>
      </c>
      <c r="N33" s="7" t="n">
        <v>6</v>
      </c>
      <c r="O33" s="27" t="n">
        <v>37.3</v>
      </c>
      <c r="P33" s="7" t="n">
        <f aca="false">F33+K33</f>
        <v>2203</v>
      </c>
      <c r="Q33" s="18" t="n">
        <f aca="false">K33/F33</f>
        <v>0.769477911646586</v>
      </c>
      <c r="R33" s="28" t="n">
        <f aca="false">J33/H33</f>
        <v>0.313145539906103</v>
      </c>
      <c r="S33" s="28" t="n">
        <f aca="false">O33/M33</f>
        <v>0.219929245283019</v>
      </c>
    </row>
    <row r="35" customFormat="false" ht="75" hidden="false" customHeight="true" outlineLevel="0" collapsed="false">
      <c r="A35" s="26" t="s">
        <v>715</v>
      </c>
      <c r="B35" s="26"/>
      <c r="C35" s="26"/>
      <c r="D35" s="26"/>
      <c r="E35" s="26"/>
      <c r="F35" s="26"/>
      <c r="G35" s="26"/>
      <c r="H35" s="26"/>
      <c r="I35" s="26"/>
      <c r="J35" s="26"/>
      <c r="K35" s="26"/>
      <c r="L35" s="26"/>
    </row>
  </sheetData>
  <autoFilter ref="A1:S33"/>
  <mergeCells count="1">
    <mergeCell ref="A35:L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2"/>
    <col collapsed="false" customWidth="true" hidden="false" outlineLevel="0" max="10" min="3" style="0" width="16"/>
  </cols>
  <sheetData>
    <row r="1" customFormat="false" ht="45" hidden="false" customHeight="true" outlineLevel="0" collapsed="false">
      <c r="A1" s="3" t="s">
        <v>667</v>
      </c>
      <c r="B1" s="3" t="s">
        <v>668</v>
      </c>
      <c r="C1" s="3" t="s">
        <v>716</v>
      </c>
      <c r="D1" s="3" t="s">
        <v>717</v>
      </c>
      <c r="E1" s="3" t="s">
        <v>718</v>
      </c>
      <c r="F1" s="3" t="s">
        <v>719</v>
      </c>
      <c r="G1" s="3" t="s">
        <v>720</v>
      </c>
      <c r="H1" s="3" t="s">
        <v>721</v>
      </c>
      <c r="I1" s="8" t="s">
        <v>722</v>
      </c>
      <c r="J1" s="8" t="s">
        <v>723</v>
      </c>
    </row>
    <row r="2" customFormat="false" ht="15" hidden="false" customHeight="false" outlineLevel="0" collapsed="false">
      <c r="A2" s="5" t="s">
        <v>430</v>
      </c>
      <c r="B2" s="5" t="s">
        <v>421</v>
      </c>
      <c r="C2" s="27" t="n">
        <v>41.2</v>
      </c>
      <c r="D2" s="27" t="n">
        <v>46.3</v>
      </c>
      <c r="E2" s="27" t="n">
        <v>62.1</v>
      </c>
      <c r="F2" s="27" t="n">
        <v>12.4</v>
      </c>
      <c r="G2" s="27" t="n">
        <v>14.8</v>
      </c>
      <c r="H2" s="27" t="n">
        <v>18.5</v>
      </c>
      <c r="I2" s="27" t="n">
        <f aca="false">D2/INDEX('PBCR Incidence Table'!$G$2:$G$33,MATCH(A2,'PBCR Incidence Table'!$A$2:$A$33,0))*100</f>
        <v>41.2288512911843</v>
      </c>
      <c r="J2" s="27" t="n">
        <f aca="false">G2/INDEX('PBCR Incidence Table'!$L$2:$L$33,MATCH(A2,'PBCR Incidence Table'!$A$2:$A$33,0))*100</f>
        <v>12.3745819397993</v>
      </c>
    </row>
    <row r="3" customFormat="false" ht="15" hidden="false" customHeight="false" outlineLevel="0" collapsed="false">
      <c r="A3" s="5" t="s">
        <v>682</v>
      </c>
      <c r="B3" s="5" t="s">
        <v>421</v>
      </c>
      <c r="C3" s="27" t="n">
        <v>36.4</v>
      </c>
      <c r="D3" s="27" t="n">
        <v>36.9</v>
      </c>
      <c r="E3" s="27" t="n">
        <v>39.9</v>
      </c>
      <c r="F3" s="27" t="n">
        <v>13.1</v>
      </c>
      <c r="G3" s="27" t="n">
        <v>16.8</v>
      </c>
      <c r="H3" s="27" t="n">
        <v>16.6</v>
      </c>
      <c r="I3" s="27" t="n">
        <f aca="false">D3/INDEX('PBCR Incidence Table'!$G$2:$G$33,MATCH(A3,'PBCR Incidence Table'!$A$2:$A$33,0))*100</f>
        <v>36.3188976377953</v>
      </c>
      <c r="J3" s="27" t="n">
        <f aca="false">G3/INDEX('PBCR Incidence Table'!$L$2:$L$33,MATCH(A3,'PBCR Incidence Table'!$A$2:$A$33,0))*100</f>
        <v>13.1558339859045</v>
      </c>
    </row>
    <row r="4" customFormat="false" ht="15" hidden="false" customHeight="false" outlineLevel="0" collapsed="false">
      <c r="A4" s="5" t="s">
        <v>686</v>
      </c>
      <c r="B4" s="5" t="s">
        <v>463</v>
      </c>
      <c r="C4" s="27" t="n">
        <v>42.5</v>
      </c>
      <c r="D4" s="27" t="n">
        <v>67.7</v>
      </c>
      <c r="E4" s="27" t="n">
        <v>52.9</v>
      </c>
      <c r="F4" s="27" t="n">
        <v>12.4</v>
      </c>
      <c r="G4" s="27" t="n">
        <v>17.2</v>
      </c>
      <c r="H4" s="27" t="n">
        <v>12.4</v>
      </c>
      <c r="I4" s="27" t="n">
        <f aca="false">D4/INDEX('PBCR Incidence Table'!$G$2:$G$33,MATCH(A4,'PBCR Incidence Table'!$A$2:$A$33,0))*100</f>
        <v>42.4717691342535</v>
      </c>
      <c r="J4" s="27" t="n">
        <f aca="false">G4/INDEX('PBCR Incidence Table'!$L$2:$L$33,MATCH(A4,'PBCR Incidence Table'!$A$2:$A$33,0))*100</f>
        <v>12.3652048885694</v>
      </c>
    </row>
    <row r="5" customFormat="false" ht="15" hidden="false" customHeight="false" outlineLevel="0" collapsed="false">
      <c r="A5" s="5" t="s">
        <v>684</v>
      </c>
      <c r="B5" s="5" t="s">
        <v>463</v>
      </c>
      <c r="C5" s="27" t="n">
        <v>42.2</v>
      </c>
      <c r="D5" s="27" t="n">
        <v>35.6</v>
      </c>
      <c r="E5" s="27" t="n">
        <v>42.6</v>
      </c>
      <c r="F5" s="27" t="n">
        <v>13.5</v>
      </c>
      <c r="G5" s="27" t="n">
        <v>14.8</v>
      </c>
      <c r="H5" s="27" t="n">
        <v>19.1</v>
      </c>
      <c r="I5" s="27" t="n">
        <f aca="false">D5/INDEX('PBCR Incidence Table'!$G$2:$G$33,MATCH(A5,'PBCR Incidence Table'!$A$2:$A$33,0))*100</f>
        <v>42.2802850356295</v>
      </c>
      <c r="J5" s="27" t="n">
        <f aca="false">G5/INDEX('PBCR Incidence Table'!$L$2:$L$33,MATCH(A5,'PBCR Incidence Table'!$A$2:$A$33,0))*100</f>
        <v>13.4790528233151</v>
      </c>
    </row>
    <row r="6" customFormat="false" ht="15" hidden="false" customHeight="false" outlineLevel="0" collapsed="false">
      <c r="A6" s="5" t="s">
        <v>689</v>
      </c>
      <c r="B6" s="5" t="s">
        <v>463</v>
      </c>
      <c r="C6" s="27" t="n">
        <v>40.6</v>
      </c>
      <c r="D6" s="27" t="n">
        <v>49.5</v>
      </c>
      <c r="E6" s="27" t="n">
        <v>47.6</v>
      </c>
      <c r="F6" s="27" t="n">
        <v>13.6</v>
      </c>
      <c r="G6" s="27" t="n">
        <v>19.2</v>
      </c>
      <c r="H6" s="27" t="n">
        <v>18.1</v>
      </c>
      <c r="I6" s="27" t="n">
        <f aca="false">D6/INDEX('PBCR Incidence Table'!$G$2:$G$33,MATCH(A6,'PBCR Incidence Table'!$A$2:$A$33,0))*100</f>
        <v>40.64039408867</v>
      </c>
      <c r="J6" s="27" t="n">
        <f aca="false">G6/INDEX('PBCR Incidence Table'!$L$2:$L$33,MATCH(A6,'PBCR Incidence Table'!$A$2:$A$33,0))*100</f>
        <v>13.5785007072136</v>
      </c>
    </row>
    <row r="7" customFormat="false" ht="15" hidden="false" customHeight="false" outlineLevel="0" collapsed="false">
      <c r="A7" s="5" t="s">
        <v>687</v>
      </c>
      <c r="B7" s="5" t="s">
        <v>463</v>
      </c>
      <c r="C7" s="27" t="n">
        <v>36.1</v>
      </c>
      <c r="D7" s="27" t="n">
        <v>62</v>
      </c>
      <c r="E7" s="27" t="n">
        <v>49</v>
      </c>
      <c r="F7" s="27" t="n">
        <v>10.1</v>
      </c>
      <c r="G7" s="27" t="n">
        <v>16.8</v>
      </c>
      <c r="H7" s="27" t="n">
        <v>12.5</v>
      </c>
      <c r="I7" s="27" t="n">
        <f aca="false">D7/INDEX('PBCR Incidence Table'!$G$2:$G$33,MATCH(A7,'PBCR Incidence Table'!$A$2:$A$33,0))*100</f>
        <v>36.3849765258216</v>
      </c>
      <c r="J7" s="27" t="n">
        <f aca="false">G7/INDEX('PBCR Incidence Table'!$L$2:$L$33,MATCH(A7,'PBCR Incidence Table'!$A$2:$A$33,0))*100</f>
        <v>10.1941747572816</v>
      </c>
    </row>
    <row r="8" customFormat="false" ht="15" hidden="false" customHeight="false" outlineLevel="0" collapsed="false">
      <c r="A8" s="5" t="s">
        <v>688</v>
      </c>
      <c r="B8" s="5" t="s">
        <v>463</v>
      </c>
      <c r="C8" s="27" t="n">
        <v>33.4</v>
      </c>
      <c r="D8" s="27" t="n">
        <v>29.7</v>
      </c>
      <c r="E8" s="27" t="n">
        <v>38.7</v>
      </c>
      <c r="F8" s="27" t="n">
        <v>14.2</v>
      </c>
      <c r="G8" s="27" t="n">
        <v>16.3</v>
      </c>
      <c r="H8" s="27" t="n">
        <v>20.1</v>
      </c>
      <c r="I8" s="27" t="n">
        <f aca="false">D8/INDEX('PBCR Incidence Table'!$G$2:$G$33,MATCH(A8,'PBCR Incidence Table'!$A$2:$A$33,0))*100</f>
        <v>30.6818181818182</v>
      </c>
      <c r="J8" s="27" t="n">
        <f aca="false">G8/INDEX('PBCR Incidence Table'!$L$2:$L$33,MATCH(A8,'PBCR Incidence Table'!$A$2:$A$33,0))*100</f>
        <v>13.0295763389289</v>
      </c>
    </row>
    <row r="9" customFormat="false" ht="15" hidden="false" customHeight="false" outlineLevel="0" collapsed="false">
      <c r="A9" s="5" t="s">
        <v>690</v>
      </c>
      <c r="B9" s="5" t="s">
        <v>435</v>
      </c>
      <c r="C9" s="27" t="n">
        <v>46.7</v>
      </c>
      <c r="D9" s="27" t="n">
        <v>51.3</v>
      </c>
      <c r="E9" s="27" t="n">
        <v>42.3</v>
      </c>
      <c r="F9" s="27" t="n">
        <v>15.4</v>
      </c>
      <c r="G9" s="27" t="n">
        <v>16.3</v>
      </c>
      <c r="H9" s="27" t="n">
        <v>13.7</v>
      </c>
      <c r="I9" s="27" t="n">
        <f aca="false">D9/INDEX('PBCR Incidence Table'!$G$2:$G$33,MATCH(A9,'PBCR Incidence Table'!$A$2:$A$33,0))*100</f>
        <v>46.6787989080983</v>
      </c>
      <c r="J9" s="27" t="n">
        <f aca="false">G9/INDEX('PBCR Incidence Table'!$L$2:$L$33,MATCH(A9,'PBCR Incidence Table'!$A$2:$A$33,0))*100</f>
        <v>15.3918791312559</v>
      </c>
    </row>
    <row r="10" customFormat="false" ht="15" hidden="false" customHeight="false" outlineLevel="0" collapsed="false">
      <c r="A10" s="5" t="s">
        <v>692</v>
      </c>
      <c r="B10" s="5" t="s">
        <v>458</v>
      </c>
      <c r="C10" s="27" t="n">
        <v>56.1</v>
      </c>
      <c r="D10" s="27" t="n">
        <v>50</v>
      </c>
      <c r="E10" s="27" t="n">
        <v>54.3</v>
      </c>
      <c r="F10" s="27" t="n">
        <v>18.6</v>
      </c>
      <c r="G10" s="27" t="n">
        <v>13.9</v>
      </c>
      <c r="H10" s="27" t="n">
        <v>14.5</v>
      </c>
      <c r="I10" s="27" t="n">
        <f aca="false">D10/INDEX('PBCR Incidence Table'!$G$2:$G$33,MATCH(A10,'PBCR Incidence Table'!$A$2:$A$33,0))*100</f>
        <v>56.1167227833895</v>
      </c>
      <c r="J10" s="27" t="n">
        <f aca="false">G10/INDEX('PBCR Incidence Table'!$L$2:$L$33,MATCH(A10,'PBCR Incidence Table'!$A$2:$A$33,0))*100</f>
        <v>18.6077643908969</v>
      </c>
    </row>
    <row r="11" customFormat="false" ht="15" hidden="false" customHeight="false" outlineLevel="0" collapsed="false">
      <c r="A11" s="5" t="s">
        <v>693</v>
      </c>
      <c r="B11" s="5" t="s">
        <v>458</v>
      </c>
      <c r="C11" s="27" t="n">
        <v>55.8</v>
      </c>
      <c r="D11" s="27" t="n">
        <v>31.6</v>
      </c>
      <c r="E11" s="27" t="n">
        <v>40</v>
      </c>
      <c r="F11" s="27" t="n">
        <v>16.3</v>
      </c>
      <c r="G11" s="27" t="n">
        <v>10.2</v>
      </c>
      <c r="H11" s="27" t="n">
        <v>12.7</v>
      </c>
      <c r="I11" s="27" t="n">
        <f aca="false">D11/INDEX('PBCR Incidence Table'!$G$2:$G$33,MATCH(A11,'PBCR Incidence Table'!$A$2:$A$33,0))*100</f>
        <v>55.8303886925795</v>
      </c>
      <c r="J11" s="27" t="n">
        <f aca="false">G11/INDEX('PBCR Incidence Table'!$L$2:$L$33,MATCH(A11,'PBCR Incidence Table'!$A$2:$A$33,0))*100</f>
        <v>16.2162162162162</v>
      </c>
    </row>
    <row r="12" customFormat="false" ht="15" hidden="false" customHeight="false" outlineLevel="0" collapsed="false">
      <c r="A12" s="5" t="s">
        <v>695</v>
      </c>
      <c r="B12" s="5" t="s">
        <v>458</v>
      </c>
      <c r="C12" s="27" t="n">
        <v>41</v>
      </c>
      <c r="D12" s="27" t="n">
        <v>16.1</v>
      </c>
      <c r="E12" s="27" t="n">
        <v>16.5</v>
      </c>
      <c r="F12" s="27" t="n">
        <v>12.7</v>
      </c>
      <c r="G12" s="27" t="n">
        <v>6.7</v>
      </c>
      <c r="H12" s="27" t="n">
        <v>6.1</v>
      </c>
      <c r="I12" s="27" t="n">
        <f aca="false">D12/INDEX('PBCR Incidence Table'!$G$2:$G$33,MATCH(A12,'PBCR Incidence Table'!$A$2:$A$33,0))*100</f>
        <v>40.9669211195929</v>
      </c>
      <c r="J12" s="27" t="n">
        <f aca="false">G12/INDEX('PBCR Incidence Table'!$L$2:$L$33,MATCH(A12,'PBCR Incidence Table'!$A$2:$A$33,0))*100</f>
        <v>12.6893939393939</v>
      </c>
    </row>
    <row r="13" customFormat="false" ht="15" hidden="false" customHeight="false" outlineLevel="0" collapsed="false">
      <c r="A13" s="5" t="s">
        <v>698</v>
      </c>
      <c r="B13" s="5" t="s">
        <v>458</v>
      </c>
      <c r="C13" s="27" t="n">
        <v>39.1</v>
      </c>
      <c r="D13" s="27" t="n">
        <v>26.4</v>
      </c>
      <c r="E13" s="27" t="n">
        <v>32.5</v>
      </c>
      <c r="F13" s="27" t="n">
        <v>15.2</v>
      </c>
      <c r="G13" s="27" t="n">
        <v>12.7</v>
      </c>
      <c r="H13" s="27" t="n">
        <v>14.6</v>
      </c>
      <c r="I13" s="27" t="n">
        <f aca="false">D13/INDEX('PBCR Incidence Table'!$G$2:$G$33,MATCH(A13,'PBCR Incidence Table'!$A$2:$A$33,0))*100</f>
        <v>39.1111111111111</v>
      </c>
      <c r="J13" s="27" t="n">
        <f aca="false">G13/INDEX('PBCR Incidence Table'!$L$2:$L$33,MATCH(A13,'PBCR Incidence Table'!$A$2:$A$33,0))*100</f>
        <v>15.2460984393758</v>
      </c>
    </row>
    <row r="14" customFormat="false" ht="15" hidden="false" customHeight="false" outlineLevel="0" collapsed="false">
      <c r="A14" s="5" t="s">
        <v>697</v>
      </c>
      <c r="B14" s="5" t="s">
        <v>458</v>
      </c>
      <c r="C14" s="27" t="n">
        <v>38.7</v>
      </c>
      <c r="D14" s="27" t="n">
        <v>37.7</v>
      </c>
      <c r="E14" s="27" t="n">
        <v>41.8</v>
      </c>
      <c r="F14" s="27" t="n">
        <v>15.6</v>
      </c>
      <c r="G14" s="27" t="n">
        <v>18.4</v>
      </c>
      <c r="H14" s="27" t="n">
        <v>18.2</v>
      </c>
      <c r="I14" s="27" t="n">
        <f aca="false">D14/INDEX('PBCR Incidence Table'!$G$2:$G$33,MATCH(A14,'PBCR Incidence Table'!$A$2:$A$33,0))*100</f>
        <v>38.7461459403906</v>
      </c>
      <c r="J14" s="27" t="n">
        <f aca="false">G14/INDEX('PBCR Incidence Table'!$L$2:$L$33,MATCH(A14,'PBCR Incidence Table'!$A$2:$A$33,0))*100</f>
        <v>15.6462585034014</v>
      </c>
    </row>
    <row r="15" customFormat="false" ht="15" hidden="false" customHeight="false" outlineLevel="0" collapsed="false">
      <c r="A15" s="5" t="s">
        <v>696</v>
      </c>
      <c r="B15" s="5" t="s">
        <v>458</v>
      </c>
      <c r="C15" s="27" t="n">
        <v>34.3</v>
      </c>
      <c r="D15" s="27" t="n">
        <v>18.5</v>
      </c>
      <c r="E15" s="27" t="n">
        <v>17.3</v>
      </c>
      <c r="F15" s="27" t="n">
        <v>14.9</v>
      </c>
      <c r="G15" s="27" t="n">
        <v>10</v>
      </c>
      <c r="H15" s="27" t="n">
        <v>8.6</v>
      </c>
      <c r="I15" s="27" t="n">
        <f aca="false">D15/INDEX('PBCR Incidence Table'!$G$2:$G$33,MATCH(A15,'PBCR Incidence Table'!$A$2:$A$33,0))*100</f>
        <v>34.3228200371058</v>
      </c>
      <c r="J15" s="27" t="n">
        <f aca="false">G15/INDEX('PBCR Incidence Table'!$L$2:$L$33,MATCH(A15,'PBCR Incidence Table'!$A$2:$A$33,0))*100</f>
        <v>14.8809523809524</v>
      </c>
    </row>
    <row r="16" customFormat="false" ht="15" hidden="false" customHeight="false" outlineLevel="0" collapsed="false">
      <c r="A16" s="5" t="s">
        <v>700</v>
      </c>
      <c r="B16" s="5" t="s">
        <v>432</v>
      </c>
      <c r="C16" s="27" t="n">
        <v>54.9</v>
      </c>
      <c r="D16" s="27" t="n">
        <v>45.8</v>
      </c>
      <c r="E16" s="27" t="n">
        <v>55.3</v>
      </c>
      <c r="F16" s="27" t="n">
        <v>17.7</v>
      </c>
      <c r="G16" s="27" t="n">
        <v>16</v>
      </c>
      <c r="H16" s="27" t="n">
        <v>19.6</v>
      </c>
      <c r="I16" s="27" t="n">
        <f aca="false">D16/INDEX('PBCR Incidence Table'!$G$2:$G$33,MATCH(A16,'PBCR Incidence Table'!$A$2:$A$33,0))*100</f>
        <v>54.9819927971189</v>
      </c>
      <c r="J16" s="27" t="n">
        <f aca="false">G16/INDEX('PBCR Incidence Table'!$L$2:$L$33,MATCH(A16,'PBCR Incidence Table'!$A$2:$A$33,0))*100</f>
        <v>17.6991150442478</v>
      </c>
    </row>
    <row r="17" customFormat="false" ht="15" hidden="false" customHeight="false" outlineLevel="0" collapsed="false">
      <c r="A17" s="5" t="s">
        <v>701</v>
      </c>
      <c r="B17" s="5" t="s">
        <v>432</v>
      </c>
      <c r="C17" s="27" t="n">
        <v>46.2</v>
      </c>
      <c r="D17" s="27" t="n">
        <v>41.1</v>
      </c>
      <c r="E17" s="27" t="n">
        <v>41.5</v>
      </c>
      <c r="F17" s="27" t="n">
        <v>17.3</v>
      </c>
      <c r="G17" s="27" t="n">
        <v>16.1</v>
      </c>
      <c r="H17" s="27" t="n">
        <v>15.8</v>
      </c>
      <c r="I17" s="27" t="n">
        <f aca="false">D17/INDEX('PBCR Incidence Table'!$G$2:$G$33,MATCH(A17,'PBCR Incidence Table'!$A$2:$A$33,0))*100</f>
        <v>46.1797752808989</v>
      </c>
      <c r="J17" s="27" t="n">
        <f aca="false">G17/INDEX('PBCR Incidence Table'!$L$2:$L$33,MATCH(A17,'PBCR Incidence Table'!$A$2:$A$33,0))*100</f>
        <v>17.2932330827068</v>
      </c>
    </row>
    <row r="18" customFormat="false" ht="15" hidden="false" customHeight="false" outlineLevel="0" collapsed="false">
      <c r="A18" s="5" t="s">
        <v>699</v>
      </c>
      <c r="B18" s="5" t="s">
        <v>432</v>
      </c>
      <c r="C18" s="27" t="n">
        <v>42.4</v>
      </c>
      <c r="D18" s="27" t="n">
        <v>29.9</v>
      </c>
      <c r="E18" s="27" t="n">
        <v>27</v>
      </c>
      <c r="F18" s="27" t="n">
        <v>18.6</v>
      </c>
      <c r="G18" s="27" t="n">
        <v>14.6</v>
      </c>
      <c r="H18" s="27" t="n">
        <v>12.7</v>
      </c>
      <c r="I18" s="27" t="n">
        <f aca="false">D18/INDEX('PBCR Incidence Table'!$G$2:$G$33,MATCH(A18,'PBCR Incidence Table'!$A$2:$A$33,0))*100</f>
        <v>42.4715909090909</v>
      </c>
      <c r="J18" s="27" t="n">
        <f aca="false">G18/INDEX('PBCR Incidence Table'!$L$2:$L$33,MATCH(A18,'PBCR Incidence Table'!$A$2:$A$33,0))*100</f>
        <v>18.5514612452351</v>
      </c>
    </row>
    <row r="19" customFormat="false" ht="15" hidden="false" customHeight="false" outlineLevel="0" collapsed="false">
      <c r="A19" s="5" t="s">
        <v>709</v>
      </c>
      <c r="B19" s="5" t="s">
        <v>437</v>
      </c>
      <c r="C19" s="27" t="n">
        <v>70.4</v>
      </c>
      <c r="D19" s="27" t="n">
        <v>92.2</v>
      </c>
      <c r="E19" s="27" t="n">
        <v>161.3</v>
      </c>
      <c r="F19" s="27" t="n">
        <v>46.5</v>
      </c>
      <c r="G19" s="27" t="n">
        <v>35.8</v>
      </c>
      <c r="H19" s="27" t="n">
        <v>58.1</v>
      </c>
      <c r="I19" s="27" t="n">
        <f aca="false">D19/INDEX('PBCR Incidence Table'!$G$2:$G$33,MATCH(A19,'PBCR Incidence Table'!$A$2:$A$33,0))*100</f>
        <v>70.381679389313</v>
      </c>
      <c r="J19" s="27" t="n">
        <f aca="false">G19/INDEX('PBCR Incidence Table'!$L$2:$L$33,MATCH(A19,'PBCR Incidence Table'!$A$2:$A$33,0))*100</f>
        <v>46.553966189857</v>
      </c>
    </row>
    <row r="20" customFormat="false" ht="15" hidden="false" customHeight="false" outlineLevel="0" collapsed="false">
      <c r="A20" s="5" t="s">
        <v>449</v>
      </c>
      <c r="B20" s="5" t="s">
        <v>437</v>
      </c>
      <c r="C20" s="27" t="n">
        <v>66.9</v>
      </c>
      <c r="D20" s="27" t="n">
        <v>61.9</v>
      </c>
      <c r="E20" s="27" t="n">
        <v>119.7</v>
      </c>
      <c r="F20" s="27" t="n">
        <v>43.1</v>
      </c>
      <c r="G20" s="27" t="n">
        <v>24</v>
      </c>
      <c r="H20" s="27" t="n">
        <v>44.6</v>
      </c>
      <c r="I20" s="27" t="n">
        <f aca="false">D20/INDEX('PBCR Incidence Table'!$G$2:$G$33,MATCH(A20,'PBCR Incidence Table'!$A$2:$A$33,0))*100</f>
        <v>66.8466522678186</v>
      </c>
      <c r="J20" s="27" t="n">
        <f aca="false">G20/INDEX('PBCR Incidence Table'!$L$2:$L$33,MATCH(A20,'PBCR Incidence Table'!$A$2:$A$33,0))*100</f>
        <v>43.0879712746858</v>
      </c>
    </row>
    <row r="21" customFormat="false" ht="15" hidden="false" customHeight="false" outlineLevel="0" collapsed="false">
      <c r="A21" s="5" t="s">
        <v>712</v>
      </c>
      <c r="B21" s="5" t="s">
        <v>437</v>
      </c>
      <c r="C21" s="27" t="n">
        <v>54</v>
      </c>
      <c r="D21" s="27" t="n">
        <v>53.6</v>
      </c>
      <c r="E21" s="27" t="n">
        <v>71.3</v>
      </c>
      <c r="F21" s="27" t="n">
        <v>23.4</v>
      </c>
      <c r="G21" s="27" t="n">
        <v>20.4</v>
      </c>
      <c r="H21" s="27" t="n">
        <v>26.9</v>
      </c>
      <c r="I21" s="27" t="n">
        <f aca="false">D21/INDEX('PBCR Incidence Table'!$G$2:$G$33,MATCH(A21,'PBCR Incidence Table'!$A$2:$A$33,0))*100</f>
        <v>54.0322580645161</v>
      </c>
      <c r="J21" s="27" t="n">
        <f aca="false">G21/INDEX('PBCR Incidence Table'!$L$2:$L$33,MATCH(A21,'PBCR Incidence Table'!$A$2:$A$33,0))*100</f>
        <v>23.448275862069</v>
      </c>
    </row>
    <row r="22" customFormat="false" ht="15" hidden="false" customHeight="false" outlineLevel="0" collapsed="false">
      <c r="A22" s="5" t="s">
        <v>448</v>
      </c>
      <c r="B22" s="5" t="s">
        <v>437</v>
      </c>
      <c r="C22" s="27" t="n">
        <v>52.1</v>
      </c>
      <c r="D22" s="27" t="n">
        <v>34.9</v>
      </c>
      <c r="E22" s="27" t="n">
        <v>43.2</v>
      </c>
      <c r="F22" s="27" t="n">
        <v>21.1</v>
      </c>
      <c r="G22" s="27" t="n">
        <v>11</v>
      </c>
      <c r="H22" s="27" t="n">
        <v>13</v>
      </c>
      <c r="I22" s="27" t="n">
        <f aca="false">D22/INDEX('PBCR Incidence Table'!$G$2:$G$33,MATCH(A22,'PBCR Incidence Table'!$A$2:$A$33,0))*100</f>
        <v>52.089552238806</v>
      </c>
      <c r="J22" s="27" t="n">
        <f aca="false">G22/INDEX('PBCR Incidence Table'!$L$2:$L$33,MATCH(A22,'PBCR Incidence Table'!$A$2:$A$33,0))*100</f>
        <v>21.1538461538462</v>
      </c>
    </row>
    <row r="23" customFormat="false" ht="15" hidden="false" customHeight="false" outlineLevel="0" collapsed="false">
      <c r="A23" s="5" t="s">
        <v>713</v>
      </c>
      <c r="B23" s="5" t="s">
        <v>437</v>
      </c>
      <c r="C23" s="27" t="n">
        <v>51.8</v>
      </c>
      <c r="D23" s="27" t="n">
        <v>37.6</v>
      </c>
      <c r="E23" s="27" t="n">
        <v>48.9</v>
      </c>
      <c r="F23" s="27" t="n">
        <v>21.8</v>
      </c>
      <c r="G23" s="27" t="n">
        <v>14.4</v>
      </c>
      <c r="H23" s="27" t="n">
        <v>18.2</v>
      </c>
      <c r="I23" s="27" t="n">
        <f aca="false">D23/INDEX('PBCR Incidence Table'!$G$2:$G$33,MATCH(A23,'PBCR Incidence Table'!$A$2:$A$33,0))*100</f>
        <v>51.8620689655172</v>
      </c>
      <c r="J23" s="27" t="n">
        <f aca="false">G23/INDEX('PBCR Incidence Table'!$L$2:$L$33,MATCH(A23,'PBCR Incidence Table'!$A$2:$A$33,0))*100</f>
        <v>21.8181818181818</v>
      </c>
    </row>
    <row r="24" customFormat="false" ht="15" hidden="false" customHeight="false" outlineLevel="0" collapsed="false">
      <c r="A24" s="5" t="s">
        <v>714</v>
      </c>
      <c r="B24" s="5" t="s">
        <v>437</v>
      </c>
      <c r="C24" s="27" t="n">
        <v>51.6</v>
      </c>
      <c r="D24" s="27" t="n">
        <v>98.2</v>
      </c>
      <c r="E24" s="27" t="n">
        <v>110.2</v>
      </c>
      <c r="F24" s="27" t="n">
        <v>23.5</v>
      </c>
      <c r="G24" s="27" t="n">
        <v>35.4</v>
      </c>
      <c r="H24" s="27" t="n">
        <v>43.2</v>
      </c>
      <c r="I24" s="27" t="n">
        <f aca="false">D24/INDEX('PBCR Incidence Table'!$G$2:$G$33,MATCH(A24,'PBCR Incidence Table'!$A$2:$A$33,0))*100</f>
        <v>51.5485564304462</v>
      </c>
      <c r="J24" s="27" t="n">
        <f aca="false">G24/INDEX('PBCR Incidence Table'!$L$2:$L$33,MATCH(A24,'PBCR Incidence Table'!$A$2:$A$33,0))*100</f>
        <v>23.474801061008</v>
      </c>
    </row>
    <row r="25" customFormat="false" ht="15" hidden="false" customHeight="false" outlineLevel="0" collapsed="false">
      <c r="A25" s="5" t="s">
        <v>704</v>
      </c>
      <c r="B25" s="5" t="s">
        <v>437</v>
      </c>
      <c r="C25" s="27" t="n">
        <v>47.2</v>
      </c>
      <c r="D25" s="27" t="n">
        <v>97.3</v>
      </c>
      <c r="E25" s="27" t="n">
        <v>127.1</v>
      </c>
      <c r="F25" s="27" t="n">
        <v>24.4</v>
      </c>
      <c r="G25" s="27" t="n">
        <v>42.6</v>
      </c>
      <c r="H25" s="27" t="n">
        <v>56.9</v>
      </c>
      <c r="I25" s="27" t="n">
        <f aca="false">D25/INDEX('PBCR Incidence Table'!$G$2:$G$33,MATCH(A25,'PBCR Incidence Table'!$A$2:$A$33,0))*100</f>
        <v>47.1871968962173</v>
      </c>
      <c r="J25" s="27" t="n">
        <f aca="false">G25/INDEX('PBCR Incidence Table'!$L$2:$L$33,MATCH(A25,'PBCR Incidence Table'!$A$2:$A$33,0))*100</f>
        <v>24.3986254295533</v>
      </c>
    </row>
    <row r="26" customFormat="false" ht="15" hidden="false" customHeight="false" outlineLevel="0" collapsed="false">
      <c r="A26" s="5" t="s">
        <v>446</v>
      </c>
      <c r="B26" s="5" t="s">
        <v>437</v>
      </c>
      <c r="C26" s="27" t="n">
        <v>43.3</v>
      </c>
      <c r="D26" s="27" t="n">
        <v>63.2</v>
      </c>
      <c r="E26" s="27" t="n">
        <v>89.3</v>
      </c>
      <c r="F26" s="27" t="n">
        <v>22.1</v>
      </c>
      <c r="G26" s="27" t="n">
        <v>28.1</v>
      </c>
      <c r="H26" s="27" t="n">
        <v>42.3</v>
      </c>
      <c r="I26" s="27" t="n">
        <f aca="false">D26/INDEX('PBCR Incidence Table'!$G$2:$G$33,MATCH(A26,'PBCR Incidence Table'!$A$2:$A$33,0))*100</f>
        <v>43.2580424366872</v>
      </c>
      <c r="J26" s="27" t="n">
        <f aca="false">G26/INDEX('PBCR Incidence Table'!$L$2:$L$33,MATCH(A26,'PBCR Incidence Table'!$A$2:$A$33,0))*100</f>
        <v>22.0392156862745</v>
      </c>
    </row>
    <row r="27" customFormat="false" ht="15" hidden="false" customHeight="false" outlineLevel="0" collapsed="false">
      <c r="A27" s="5" t="s">
        <v>441</v>
      </c>
      <c r="B27" s="5" t="s">
        <v>437</v>
      </c>
      <c r="C27" s="27" t="n">
        <v>39.3</v>
      </c>
      <c r="D27" s="27" t="n">
        <v>29.3</v>
      </c>
      <c r="E27" s="27" t="n">
        <v>51.1</v>
      </c>
      <c r="F27" s="27" t="n">
        <v>11.5</v>
      </c>
      <c r="G27" s="27" t="n">
        <v>6.5</v>
      </c>
      <c r="H27" s="27" t="n">
        <v>12.5</v>
      </c>
      <c r="I27" s="27" t="n">
        <f aca="false">D27/INDEX('PBCR Incidence Table'!$G$2:$G$33,MATCH(A27,'PBCR Incidence Table'!$A$2:$A$33,0))*100</f>
        <v>39.3288590604027</v>
      </c>
      <c r="J27" s="27" t="n">
        <f aca="false">G27/INDEX('PBCR Incidence Table'!$L$2:$L$33,MATCH(A27,'PBCR Incidence Table'!$A$2:$A$33,0))*100</f>
        <v>11.5452930728242</v>
      </c>
    </row>
    <row r="28" customFormat="false" ht="15" hidden="false" customHeight="false" outlineLevel="0" collapsed="false">
      <c r="A28" s="5" t="s">
        <v>702</v>
      </c>
      <c r="B28" s="5" t="s">
        <v>437</v>
      </c>
      <c r="C28" s="27" t="n">
        <v>37.3</v>
      </c>
      <c r="D28" s="27" t="n">
        <v>31.7</v>
      </c>
      <c r="E28" s="27" t="n">
        <v>36.8</v>
      </c>
      <c r="F28" s="27" t="n">
        <v>19.1</v>
      </c>
      <c r="G28" s="27" t="n">
        <v>20.6</v>
      </c>
      <c r="H28" s="27" t="n">
        <v>22.2</v>
      </c>
      <c r="I28" s="27" t="n">
        <f aca="false">D28/INDEX('PBCR Incidence Table'!$G$2:$G$33,MATCH(A28,'PBCR Incidence Table'!$A$2:$A$33,0))*100</f>
        <v>37.2502937720329</v>
      </c>
      <c r="J28" s="27" t="n">
        <f aca="false">G28/INDEX('PBCR Incidence Table'!$L$2:$L$33,MATCH(A28,'PBCR Incidence Table'!$A$2:$A$33,0))*100</f>
        <v>19.0917516218721</v>
      </c>
    </row>
    <row r="29" customFormat="false" ht="15" hidden="false" customHeight="false" outlineLevel="0" collapsed="false">
      <c r="A29" s="5" t="s">
        <v>444</v>
      </c>
      <c r="B29" s="5" t="s">
        <v>437</v>
      </c>
      <c r="C29" s="27" t="n">
        <v>36.8</v>
      </c>
      <c r="D29" s="27" t="n">
        <v>17.3</v>
      </c>
      <c r="E29" s="27" t="n">
        <v>24.7</v>
      </c>
      <c r="F29" s="27" t="n">
        <v>19.5</v>
      </c>
      <c r="G29" s="27" t="n">
        <v>11.3</v>
      </c>
      <c r="H29" s="27" t="n">
        <v>15.8</v>
      </c>
      <c r="I29" s="27" t="n">
        <f aca="false">D29/INDEX('PBCR Incidence Table'!$G$2:$G$33,MATCH(A29,'PBCR Incidence Table'!$A$2:$A$33,0))*100</f>
        <v>36.8085106382979</v>
      </c>
      <c r="J29" s="27" t="n">
        <f aca="false">G29/INDEX('PBCR Incidence Table'!$L$2:$L$33,MATCH(A29,'PBCR Incidence Table'!$A$2:$A$33,0))*100</f>
        <v>19.5501730103806</v>
      </c>
    </row>
    <row r="30" customFormat="false" ht="15" hidden="false" customHeight="false" outlineLevel="0" collapsed="false">
      <c r="A30" s="5" t="s">
        <v>438</v>
      </c>
      <c r="B30" s="5" t="s">
        <v>437</v>
      </c>
      <c r="C30" s="27" t="n">
        <v>32.8</v>
      </c>
      <c r="D30" s="27" t="n">
        <v>22.9</v>
      </c>
      <c r="E30" s="27" t="n">
        <v>29.5</v>
      </c>
      <c r="F30" s="27" t="n">
        <v>18.2</v>
      </c>
      <c r="G30" s="27" t="n">
        <v>13.7</v>
      </c>
      <c r="H30" s="27" t="n">
        <v>19.2</v>
      </c>
      <c r="I30" s="27" t="n">
        <f aca="false">D30/INDEX('PBCR Incidence Table'!$G$2:$G$33,MATCH(A30,'PBCR Incidence Table'!$A$2:$A$33,0))*100</f>
        <v>32.761087267525</v>
      </c>
      <c r="J30" s="27" t="n">
        <f aca="false">G30/INDEX('PBCR Incidence Table'!$L$2:$L$33,MATCH(A30,'PBCR Incidence Table'!$A$2:$A$33,0))*100</f>
        <v>18.1938911022576</v>
      </c>
    </row>
    <row r="31" customFormat="false" ht="15" hidden="false" customHeight="false" outlineLevel="0" collapsed="false">
      <c r="A31" s="5" t="s">
        <v>707</v>
      </c>
      <c r="B31" s="5" t="s">
        <v>437</v>
      </c>
      <c r="C31" s="27" t="n">
        <v>30.5</v>
      </c>
      <c r="D31" s="27" t="n">
        <v>28.9</v>
      </c>
      <c r="E31" s="27" t="n">
        <v>67.7</v>
      </c>
      <c r="F31" s="27" t="n">
        <v>14.4</v>
      </c>
      <c r="G31" s="27" t="n">
        <v>15.1</v>
      </c>
      <c r="H31" s="27" t="n">
        <v>43.6</v>
      </c>
      <c r="I31" s="27" t="n">
        <f aca="false">D31/INDEX('PBCR Incidence Table'!$G$2:$G$33,MATCH(A31,'PBCR Incidence Table'!$A$2:$A$33,0))*100</f>
        <v>30.4852320675105</v>
      </c>
      <c r="J31" s="27" t="n">
        <f aca="false">G31/INDEX('PBCR Incidence Table'!$L$2:$L$33,MATCH(A31,'PBCR Incidence Table'!$A$2:$A$33,0))*100</f>
        <v>14.3672692673644</v>
      </c>
    </row>
    <row r="32" customFormat="false" ht="15" hidden="false" customHeight="false" outlineLevel="0" collapsed="false">
      <c r="A32" s="5" t="s">
        <v>711</v>
      </c>
      <c r="B32" s="5" t="s">
        <v>437</v>
      </c>
      <c r="C32" s="27" t="n">
        <v>29</v>
      </c>
      <c r="D32" s="27" t="n">
        <v>26.3</v>
      </c>
      <c r="E32" s="27" t="n">
        <v>36.1</v>
      </c>
      <c r="F32" s="27" t="n">
        <v>10.9</v>
      </c>
      <c r="G32" s="27" t="n">
        <v>9.6</v>
      </c>
      <c r="H32" s="27" t="n">
        <v>14.5</v>
      </c>
      <c r="I32" s="27" t="n">
        <f aca="false">D32/INDEX('PBCR Incidence Table'!$G$2:$G$33,MATCH(A32,'PBCR Incidence Table'!$A$2:$A$33,0))*100</f>
        <v>28.9966923925028</v>
      </c>
      <c r="J32" s="27" t="n">
        <f aca="false">G32/INDEX('PBCR Incidence Table'!$L$2:$L$33,MATCH(A32,'PBCR Incidence Table'!$A$2:$A$33,0))*100</f>
        <v>10.8967082860386</v>
      </c>
    </row>
    <row r="33" customFormat="false" ht="15" hidden="false" customHeight="false" outlineLevel="0" collapsed="false">
      <c r="A33" s="5" t="s">
        <v>706</v>
      </c>
      <c r="B33" s="5" t="s">
        <v>437</v>
      </c>
      <c r="C33" s="27" t="n">
        <v>24.5</v>
      </c>
      <c r="D33" s="27" t="n">
        <v>13.9</v>
      </c>
      <c r="E33" s="27" t="n">
        <v>26.6</v>
      </c>
      <c r="F33" s="27" t="n">
        <v>11.1</v>
      </c>
      <c r="G33" s="27" t="n">
        <v>6.3</v>
      </c>
      <c r="H33" s="27" t="n">
        <v>13.7</v>
      </c>
      <c r="I33" s="27" t="n">
        <f aca="false">D33/INDEX('PBCR Incidence Table'!$G$2:$G$33,MATCH(A33,'PBCR Incidence Table'!$A$2:$A$33,0))*100</f>
        <v>24.5583038869258</v>
      </c>
      <c r="J33" s="27" t="n">
        <f aca="false">G33/INDEX('PBCR Incidence Table'!$L$2:$L$33,MATCH(A33,'PBCR Incidence Table'!$A$2:$A$33,0))*100</f>
        <v>11.190053285968</v>
      </c>
    </row>
    <row r="35" customFormat="false" ht="60" hidden="false" customHeight="true" outlineLevel="0" collapsed="false">
      <c r="A35" s="26" t="s">
        <v>724</v>
      </c>
      <c r="B35" s="26"/>
      <c r="C35" s="26"/>
      <c r="D35" s="26"/>
      <c r="E35" s="26"/>
      <c r="F35" s="26"/>
      <c r="G35" s="26"/>
      <c r="H35" s="26"/>
      <c r="I35" s="26"/>
      <c r="J35" s="26"/>
    </row>
  </sheetData>
  <autoFilter ref="A1:J33"/>
  <mergeCells count="1">
    <mergeCell ref="A35:J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9"/>
    <col collapsed="false" customWidth="true" hidden="false" outlineLevel="0" max="3" min="3" style="0" width="28"/>
    <col collapsed="false" customWidth="true" hidden="false" outlineLevel="0" max="4" min="4" style="0" width="12"/>
    <col collapsed="false" customWidth="true" hidden="false" outlineLevel="0" max="5" min="5" style="0" width="20"/>
    <col collapsed="false" customWidth="true" hidden="false" outlineLevel="0" max="6" min="6" style="0" width="16"/>
    <col collapsed="false" customWidth="true" hidden="false" outlineLevel="0" max="7" min="7" style="0" width="12"/>
    <col collapsed="false" customWidth="true" hidden="false" outlineLevel="0" max="8" min="8" style="0" width="24"/>
  </cols>
  <sheetData>
    <row r="1" customFormat="false" ht="45" hidden="false" customHeight="true" outlineLevel="0" collapsed="false">
      <c r="A1" s="3" t="s">
        <v>566</v>
      </c>
      <c r="B1" s="3" t="s">
        <v>564</v>
      </c>
      <c r="C1" s="3" t="s">
        <v>667</v>
      </c>
      <c r="D1" s="3" t="s">
        <v>668</v>
      </c>
      <c r="E1" s="3" t="s">
        <v>725</v>
      </c>
      <c r="F1" s="3" t="s">
        <v>726</v>
      </c>
      <c r="G1" s="8" t="s">
        <v>727</v>
      </c>
      <c r="H1" s="8" t="s">
        <v>728</v>
      </c>
    </row>
    <row r="2" customFormat="false" ht="15" hidden="false" customHeight="false" outlineLevel="0" collapsed="false">
      <c r="A2" s="5" t="s">
        <v>501</v>
      </c>
      <c r="B2" s="5" t="s">
        <v>574</v>
      </c>
      <c r="C2" s="5" t="s">
        <v>714</v>
      </c>
      <c r="D2" s="5" t="s">
        <v>437</v>
      </c>
      <c r="E2" s="34" t="n">
        <v>3.8</v>
      </c>
      <c r="F2" s="5" t="s">
        <v>694</v>
      </c>
      <c r="G2" s="5" t="str">
        <f aca="false">IF(E2&gt;0,"Increase",IF(E2&lt;0,"Decrease","No change"))</f>
        <v>Increase</v>
      </c>
      <c r="H2" s="5" t="str">
        <f aca="false">IF(F2="Yes",G2&amp;" (significant)","Not significant")</f>
        <v>Increase (significant)</v>
      </c>
    </row>
    <row r="3" customFormat="false" ht="15" hidden="false" customHeight="false" outlineLevel="0" collapsed="false">
      <c r="A3" s="5" t="s">
        <v>501</v>
      </c>
      <c r="B3" s="5" t="s">
        <v>574</v>
      </c>
      <c r="C3" s="5" t="s">
        <v>729</v>
      </c>
      <c r="D3" s="5" t="s">
        <v>463</v>
      </c>
      <c r="E3" s="34" t="n">
        <v>3.2</v>
      </c>
      <c r="F3" s="5" t="s">
        <v>694</v>
      </c>
      <c r="G3" s="5" t="str">
        <f aca="false">IF(E3&gt;0,"Increase",IF(E3&lt;0,"Decrease","No change"))</f>
        <v>Increase</v>
      </c>
      <c r="H3" s="5" t="str">
        <f aca="false">IF(F3="Yes",G3&amp;" (significant)","Not significant")</f>
        <v>Increase (significant)</v>
      </c>
    </row>
    <row r="4" customFormat="false" ht="15" hidden="false" customHeight="false" outlineLevel="0" collapsed="false">
      <c r="A4" s="5" t="s">
        <v>501</v>
      </c>
      <c r="B4" s="5" t="s">
        <v>574</v>
      </c>
      <c r="C4" s="5" t="s">
        <v>693</v>
      </c>
      <c r="D4" s="5" t="s">
        <v>458</v>
      </c>
      <c r="E4" s="34" t="n">
        <v>2.3</v>
      </c>
      <c r="F4" s="5" t="s">
        <v>694</v>
      </c>
      <c r="G4" s="5" t="str">
        <f aca="false">IF(E4&gt;0,"Increase",IF(E4&lt;0,"Decrease","No change"))</f>
        <v>Increase</v>
      </c>
      <c r="H4" s="5" t="str">
        <f aca="false">IF(F4="Yes",G4&amp;" (significant)","Not significant")</f>
        <v>Increase (significant)</v>
      </c>
    </row>
    <row r="5" customFormat="false" ht="15" hidden="false" customHeight="false" outlineLevel="0" collapsed="false">
      <c r="A5" s="5" t="s">
        <v>501</v>
      </c>
      <c r="B5" s="5" t="s">
        <v>574</v>
      </c>
      <c r="C5" s="5" t="s">
        <v>698</v>
      </c>
      <c r="D5" s="5" t="s">
        <v>458</v>
      </c>
      <c r="E5" s="34" t="n">
        <v>1.6</v>
      </c>
      <c r="F5" s="5" t="s">
        <v>694</v>
      </c>
      <c r="G5" s="5" t="str">
        <f aca="false">IF(E5&gt;0,"Increase",IF(E5&lt;0,"Decrease","No change"))</f>
        <v>Increase</v>
      </c>
      <c r="H5" s="5" t="str">
        <f aca="false">IF(F5="Yes",G5&amp;" (significant)","Not significant")</f>
        <v>Increase (significant)</v>
      </c>
    </row>
    <row r="6" customFormat="false" ht="15" hidden="false" customHeight="false" outlineLevel="0" collapsed="false">
      <c r="A6" s="5" t="s">
        <v>501</v>
      </c>
      <c r="B6" s="5" t="s">
        <v>574</v>
      </c>
      <c r="C6" s="5" t="s">
        <v>689</v>
      </c>
      <c r="D6" s="5" t="s">
        <v>463</v>
      </c>
      <c r="E6" s="34" t="n">
        <v>0.9</v>
      </c>
      <c r="F6" s="5" t="s">
        <v>694</v>
      </c>
      <c r="G6" s="5" t="str">
        <f aca="false">IF(E6&gt;0,"Increase",IF(E6&lt;0,"Decrease","No change"))</f>
        <v>Increase</v>
      </c>
      <c r="H6" s="5" t="str">
        <f aca="false">IF(F6="Yes",G6&amp;" (significant)","Not significant")</f>
        <v>Increase (significant)</v>
      </c>
    </row>
    <row r="7" customFormat="false" ht="15" hidden="false" customHeight="false" outlineLevel="0" collapsed="false">
      <c r="A7" s="5" t="s">
        <v>501</v>
      </c>
      <c r="B7" s="5" t="s">
        <v>574</v>
      </c>
      <c r="C7" s="5" t="s">
        <v>430</v>
      </c>
      <c r="D7" s="5" t="s">
        <v>421</v>
      </c>
      <c r="E7" s="34" t="n">
        <v>0.9</v>
      </c>
      <c r="F7" s="5" t="s">
        <v>694</v>
      </c>
      <c r="G7" s="5" t="str">
        <f aca="false">IF(E7&gt;0,"Increase",IF(E7&lt;0,"Decrease","No change"))</f>
        <v>Increase</v>
      </c>
      <c r="H7" s="5" t="str">
        <f aca="false">IF(F7="Yes",G7&amp;" (significant)","Not significant")</f>
        <v>Increase (significant)</v>
      </c>
    </row>
    <row r="8" customFormat="false" ht="15" hidden="false" customHeight="false" outlineLevel="0" collapsed="false">
      <c r="A8" s="5" t="s">
        <v>501</v>
      </c>
      <c r="B8" s="5" t="s">
        <v>574</v>
      </c>
      <c r="C8" s="5" t="s">
        <v>701</v>
      </c>
      <c r="D8" s="5" t="s">
        <v>432</v>
      </c>
      <c r="E8" s="34" t="n">
        <v>0.9</v>
      </c>
      <c r="F8" s="5" t="s">
        <v>730</v>
      </c>
      <c r="G8" s="5" t="str">
        <f aca="false">IF(E8&gt;0,"Increase",IF(E8&lt;0,"Decrease","No change"))</f>
        <v>Increase</v>
      </c>
      <c r="H8" s="5" t="str">
        <f aca="false">IF(F8="Yes",G8&amp;" (significant)","Not significant")</f>
        <v>Not significant</v>
      </c>
    </row>
    <row r="9" customFormat="false" ht="15" hidden="false" customHeight="false" outlineLevel="0" collapsed="false">
      <c r="A9" s="5" t="s">
        <v>501</v>
      </c>
      <c r="B9" s="5" t="s">
        <v>574</v>
      </c>
      <c r="C9" s="5" t="s">
        <v>688</v>
      </c>
      <c r="D9" s="5" t="s">
        <v>463</v>
      </c>
      <c r="E9" s="34" t="n">
        <v>0.8</v>
      </c>
      <c r="F9" s="5" t="s">
        <v>694</v>
      </c>
      <c r="G9" s="5" t="str">
        <f aca="false">IF(E9&gt;0,"Increase",IF(E9&lt;0,"Decrease","No change"))</f>
        <v>Increase</v>
      </c>
      <c r="H9" s="5" t="str">
        <f aca="false">IF(F9="Yes",G9&amp;" (significant)","Not significant")</f>
        <v>Increase (significant)</v>
      </c>
    </row>
    <row r="10" customFormat="false" ht="15" hidden="false" customHeight="false" outlineLevel="0" collapsed="false">
      <c r="A10" s="5" t="s">
        <v>501</v>
      </c>
      <c r="B10" s="5" t="s">
        <v>574</v>
      </c>
      <c r="C10" s="5" t="s">
        <v>446</v>
      </c>
      <c r="D10" s="5" t="s">
        <v>437</v>
      </c>
      <c r="E10" s="34" t="n">
        <v>0.7</v>
      </c>
      <c r="F10" s="5" t="s">
        <v>730</v>
      </c>
      <c r="G10" s="5" t="str">
        <f aca="false">IF(E10&gt;0,"Increase",IF(E10&lt;0,"Decrease","No change"))</f>
        <v>Increase</v>
      </c>
      <c r="H10" s="5" t="str">
        <f aca="false">IF(F10="Yes",G10&amp;" (significant)","Not significant")</f>
        <v>Not significant</v>
      </c>
    </row>
    <row r="11" customFormat="false" ht="15" hidden="false" customHeight="false" outlineLevel="0" collapsed="false">
      <c r="A11" s="5" t="s">
        <v>501</v>
      </c>
      <c r="B11" s="5" t="s">
        <v>574</v>
      </c>
      <c r="C11" s="5" t="s">
        <v>686</v>
      </c>
      <c r="D11" s="5" t="s">
        <v>463</v>
      </c>
      <c r="E11" s="34" t="n">
        <v>0.7</v>
      </c>
      <c r="F11" s="5" t="s">
        <v>730</v>
      </c>
      <c r="G11" s="5" t="str">
        <f aca="false">IF(E11&gt;0,"Increase",IF(E11&lt;0,"Decrease","No change"))</f>
        <v>Increase</v>
      </c>
      <c r="H11" s="5" t="str">
        <f aca="false">IF(F11="Yes",G11&amp;" (significant)","Not significant")</f>
        <v>Not significant</v>
      </c>
    </row>
    <row r="12" customFormat="false" ht="15" hidden="false" customHeight="false" outlineLevel="0" collapsed="false">
      <c r="A12" s="5" t="s">
        <v>501</v>
      </c>
      <c r="B12" s="5" t="s">
        <v>574</v>
      </c>
      <c r="C12" s="5" t="s">
        <v>696</v>
      </c>
      <c r="D12" s="5" t="s">
        <v>458</v>
      </c>
      <c r="E12" s="34" t="n">
        <v>0.3</v>
      </c>
      <c r="F12" s="5" t="s">
        <v>730</v>
      </c>
      <c r="G12" s="5" t="str">
        <f aca="false">IF(E12&gt;0,"Increase",IF(E12&lt;0,"Decrease","No change"))</f>
        <v>Increase</v>
      </c>
      <c r="H12" s="5" t="str">
        <f aca="false">IF(F12="Yes",G12&amp;" (significant)","Not significant")</f>
        <v>Not significant</v>
      </c>
    </row>
    <row r="13" customFormat="false" ht="15" hidden="false" customHeight="false" outlineLevel="0" collapsed="false">
      <c r="A13" s="5" t="s">
        <v>501</v>
      </c>
      <c r="B13" s="5" t="s">
        <v>574</v>
      </c>
      <c r="C13" s="5" t="s">
        <v>700</v>
      </c>
      <c r="D13" s="5" t="s">
        <v>432</v>
      </c>
      <c r="E13" s="34" t="n">
        <v>0.1</v>
      </c>
      <c r="F13" s="5" t="s">
        <v>730</v>
      </c>
      <c r="G13" s="5" t="str">
        <f aca="false">IF(E13&gt;0,"Increase",IF(E13&lt;0,"Decrease","No change"))</f>
        <v>Increase</v>
      </c>
      <c r="H13" s="5" t="str">
        <f aca="false">IF(F13="Yes",G13&amp;" (significant)","Not significant")</f>
        <v>Not significant</v>
      </c>
    </row>
    <row r="14" customFormat="false" ht="15" hidden="false" customHeight="false" outlineLevel="0" collapsed="false">
      <c r="A14" s="5" t="s">
        <v>501</v>
      </c>
      <c r="B14" s="5" t="s">
        <v>574</v>
      </c>
      <c r="C14" s="5" t="s">
        <v>702</v>
      </c>
      <c r="D14" s="5" t="s">
        <v>437</v>
      </c>
      <c r="E14" s="34" t="n">
        <v>-0.1</v>
      </c>
      <c r="F14" s="5" t="s">
        <v>730</v>
      </c>
      <c r="G14" s="5" t="str">
        <f aca="false">IF(E14&gt;0,"Increase",IF(E14&lt;0,"Decrease","No change"))</f>
        <v>Decrease</v>
      </c>
      <c r="H14" s="5" t="str">
        <f aca="false">IF(F14="Yes",G14&amp;" (significant)","Not significant")</f>
        <v>Not significant</v>
      </c>
    </row>
    <row r="15" customFormat="false" ht="15" hidden="false" customHeight="false" outlineLevel="0" collapsed="false">
      <c r="A15" s="5" t="s">
        <v>501</v>
      </c>
      <c r="B15" s="5" t="s">
        <v>574</v>
      </c>
      <c r="C15" s="5" t="s">
        <v>697</v>
      </c>
      <c r="D15" s="5" t="s">
        <v>458</v>
      </c>
      <c r="E15" s="34" t="n">
        <v>-0.5</v>
      </c>
      <c r="F15" s="5" t="s">
        <v>694</v>
      </c>
      <c r="G15" s="5" t="str">
        <f aca="false">IF(E15&gt;0,"Increase",IF(E15&lt;0,"Decrease","No change"))</f>
        <v>Decrease</v>
      </c>
      <c r="H15" s="5" t="str">
        <f aca="false">IF(F15="Yes",G15&amp;" (significant)","Not significant")</f>
        <v>Decrease (significant)</v>
      </c>
    </row>
    <row r="16" customFormat="false" ht="15" hidden="false" customHeight="false" outlineLevel="0" collapsed="false">
      <c r="A16" s="5" t="s">
        <v>501</v>
      </c>
      <c r="B16" s="5" t="s">
        <v>574</v>
      </c>
      <c r="C16" s="5" t="s">
        <v>438</v>
      </c>
      <c r="D16" s="5" t="s">
        <v>437</v>
      </c>
      <c r="E16" s="34" t="n">
        <v>-0.8</v>
      </c>
      <c r="F16" s="5" t="s">
        <v>694</v>
      </c>
      <c r="G16" s="5" t="str">
        <f aca="false">IF(E16&gt;0,"Increase",IF(E16&lt;0,"Decrease","No change"))</f>
        <v>Decrease</v>
      </c>
      <c r="H16" s="5" t="str">
        <f aca="false">IF(F16="Yes",G16&amp;" (significant)","Not significant")</f>
        <v>Decrease (significant)</v>
      </c>
    </row>
    <row r="17" customFormat="false" ht="15" hidden="false" customHeight="false" outlineLevel="0" collapsed="false">
      <c r="A17" s="5" t="s">
        <v>501</v>
      </c>
      <c r="B17" s="5" t="s">
        <v>574</v>
      </c>
      <c r="C17" s="5" t="s">
        <v>713</v>
      </c>
      <c r="D17" s="5" t="s">
        <v>437</v>
      </c>
      <c r="E17" s="34" t="n">
        <v>-1.3</v>
      </c>
      <c r="F17" s="5" t="s">
        <v>694</v>
      </c>
      <c r="G17" s="5" t="str">
        <f aca="false">IF(E17&gt;0,"Increase",IF(E17&lt;0,"Decrease","No change"))</f>
        <v>Decrease</v>
      </c>
      <c r="H17" s="5" t="str">
        <f aca="false">IF(F17="Yes",G17&amp;" (significant)","Not significant")</f>
        <v>Decrease (significant)</v>
      </c>
    </row>
    <row r="18" customFormat="false" ht="15" hidden="false" customHeight="false" outlineLevel="0" collapsed="false">
      <c r="A18" s="5" t="s">
        <v>501</v>
      </c>
      <c r="B18" s="5" t="s">
        <v>586</v>
      </c>
      <c r="C18" s="5" t="s">
        <v>714</v>
      </c>
      <c r="D18" s="5" t="s">
        <v>437</v>
      </c>
      <c r="E18" s="34" t="n">
        <v>3.8</v>
      </c>
      <c r="F18" s="5" t="s">
        <v>694</v>
      </c>
      <c r="G18" s="5" t="str">
        <f aca="false">IF(E18&gt;0,"Increase",IF(E18&lt;0,"Decrease","No change"))</f>
        <v>Increase</v>
      </c>
      <c r="H18" s="5" t="str">
        <f aca="false">IF(F18="Yes",G18&amp;" (significant)","Not significant")</f>
        <v>Increase (significant)</v>
      </c>
    </row>
    <row r="19" customFormat="false" ht="15" hidden="false" customHeight="false" outlineLevel="0" collapsed="false">
      <c r="A19" s="5" t="s">
        <v>501</v>
      </c>
      <c r="B19" s="5" t="s">
        <v>586</v>
      </c>
      <c r="C19" s="5" t="s">
        <v>729</v>
      </c>
      <c r="D19" s="5" t="s">
        <v>463</v>
      </c>
      <c r="E19" s="34" t="n">
        <v>3.5</v>
      </c>
      <c r="F19" s="5" t="s">
        <v>694</v>
      </c>
      <c r="G19" s="5" t="str">
        <f aca="false">IF(E19&gt;0,"Increase",IF(E19&lt;0,"Decrease","No change"))</f>
        <v>Increase</v>
      </c>
      <c r="H19" s="5" t="str">
        <f aca="false">IF(F19="Yes",G19&amp;" (significant)","Not significant")</f>
        <v>Increase (significant)</v>
      </c>
    </row>
    <row r="20" customFormat="false" ht="15" hidden="false" customHeight="false" outlineLevel="0" collapsed="false">
      <c r="A20" s="5" t="s">
        <v>501</v>
      </c>
      <c r="B20" s="5" t="s">
        <v>586</v>
      </c>
      <c r="C20" s="5" t="s">
        <v>693</v>
      </c>
      <c r="D20" s="5" t="s">
        <v>458</v>
      </c>
      <c r="E20" s="34" t="n">
        <v>3.1</v>
      </c>
      <c r="F20" s="5" t="s">
        <v>694</v>
      </c>
      <c r="G20" s="5" t="str">
        <f aca="false">IF(E20&gt;0,"Increase",IF(E20&lt;0,"Decrease","No change"))</f>
        <v>Increase</v>
      </c>
      <c r="H20" s="5" t="str">
        <f aca="false">IF(F20="Yes",G20&amp;" (significant)","Not significant")</f>
        <v>Increase (significant)</v>
      </c>
    </row>
    <row r="21" customFormat="false" ht="15" hidden="false" customHeight="false" outlineLevel="0" collapsed="false">
      <c r="A21" s="5" t="s">
        <v>501</v>
      </c>
      <c r="B21" s="5" t="s">
        <v>586</v>
      </c>
      <c r="C21" s="5" t="s">
        <v>698</v>
      </c>
      <c r="D21" s="5" t="s">
        <v>458</v>
      </c>
      <c r="E21" s="34" t="n">
        <v>2.1</v>
      </c>
      <c r="F21" s="5" t="s">
        <v>694</v>
      </c>
      <c r="G21" s="5" t="str">
        <f aca="false">IF(E21&gt;0,"Increase",IF(E21&lt;0,"Decrease","No change"))</f>
        <v>Increase</v>
      </c>
      <c r="H21" s="5" t="str">
        <f aca="false">IF(F21="Yes",G21&amp;" (significant)","Not significant")</f>
        <v>Increase (significant)</v>
      </c>
    </row>
    <row r="22" customFormat="false" ht="15" hidden="false" customHeight="false" outlineLevel="0" collapsed="false">
      <c r="A22" s="5" t="s">
        <v>501</v>
      </c>
      <c r="B22" s="5" t="s">
        <v>586</v>
      </c>
      <c r="C22" s="5" t="s">
        <v>446</v>
      </c>
      <c r="D22" s="5" t="s">
        <v>437</v>
      </c>
      <c r="E22" s="34" t="n">
        <v>1.5</v>
      </c>
      <c r="F22" s="5" t="s">
        <v>694</v>
      </c>
      <c r="G22" s="5" t="str">
        <f aca="false">IF(E22&gt;0,"Increase",IF(E22&lt;0,"Decrease","No change"))</f>
        <v>Increase</v>
      </c>
      <c r="H22" s="5" t="str">
        <f aca="false">IF(F22="Yes",G22&amp;" (significant)","Not significant")</f>
        <v>Increase (significant)</v>
      </c>
    </row>
    <row r="23" customFormat="false" ht="15" hidden="false" customHeight="false" outlineLevel="0" collapsed="false">
      <c r="A23" s="5" t="s">
        <v>501</v>
      </c>
      <c r="B23" s="5" t="s">
        <v>586</v>
      </c>
      <c r="C23" s="5" t="s">
        <v>686</v>
      </c>
      <c r="D23" s="5" t="s">
        <v>463</v>
      </c>
      <c r="E23" s="34" t="n">
        <v>1.4</v>
      </c>
      <c r="F23" s="5" t="s">
        <v>694</v>
      </c>
      <c r="G23" s="5" t="str">
        <f aca="false">IF(E23&gt;0,"Increase",IF(E23&lt;0,"Decrease","No change"))</f>
        <v>Increase</v>
      </c>
      <c r="H23" s="5" t="str">
        <f aca="false">IF(F23="Yes",G23&amp;" (significant)","Not significant")</f>
        <v>Increase (significant)</v>
      </c>
    </row>
    <row r="24" customFormat="false" ht="15" hidden="false" customHeight="false" outlineLevel="0" collapsed="false">
      <c r="A24" s="5" t="s">
        <v>501</v>
      </c>
      <c r="B24" s="5" t="s">
        <v>586</v>
      </c>
      <c r="C24" s="5" t="s">
        <v>688</v>
      </c>
      <c r="D24" s="5" t="s">
        <v>463</v>
      </c>
      <c r="E24" s="34" t="n">
        <v>0.8</v>
      </c>
      <c r="F24" s="5" t="s">
        <v>694</v>
      </c>
      <c r="G24" s="5" t="str">
        <f aca="false">IF(E24&gt;0,"Increase",IF(E24&lt;0,"Decrease","No change"))</f>
        <v>Increase</v>
      </c>
      <c r="H24" s="5" t="str">
        <f aca="false">IF(F24="Yes",G24&amp;" (significant)","Not significant")</f>
        <v>Increase (significant)</v>
      </c>
    </row>
    <row r="25" customFormat="false" ht="15" hidden="false" customHeight="false" outlineLevel="0" collapsed="false">
      <c r="A25" s="5" t="s">
        <v>501</v>
      </c>
      <c r="B25" s="5" t="s">
        <v>586</v>
      </c>
      <c r="C25" s="5" t="s">
        <v>700</v>
      </c>
      <c r="D25" s="5" t="s">
        <v>432</v>
      </c>
      <c r="E25" s="34" t="n">
        <v>0.7</v>
      </c>
      <c r="F25" s="5" t="s">
        <v>694</v>
      </c>
      <c r="G25" s="5" t="str">
        <f aca="false">IF(E25&gt;0,"Increase",IF(E25&lt;0,"Decrease","No change"))</f>
        <v>Increase</v>
      </c>
      <c r="H25" s="5" t="str">
        <f aca="false">IF(F25="Yes",G25&amp;" (significant)","Not significant")</f>
        <v>Increase (significant)</v>
      </c>
    </row>
    <row r="26" customFormat="false" ht="15" hidden="false" customHeight="false" outlineLevel="0" collapsed="false">
      <c r="A26" s="5" t="s">
        <v>501</v>
      </c>
      <c r="B26" s="5" t="s">
        <v>586</v>
      </c>
      <c r="C26" s="5" t="s">
        <v>696</v>
      </c>
      <c r="D26" s="5" t="s">
        <v>458</v>
      </c>
      <c r="E26" s="34" t="n">
        <v>0.5</v>
      </c>
      <c r="F26" s="5" t="s">
        <v>694</v>
      </c>
      <c r="G26" s="5" t="str">
        <f aca="false">IF(E26&gt;0,"Increase",IF(E26&lt;0,"Decrease","No change"))</f>
        <v>Increase</v>
      </c>
      <c r="H26" s="5" t="str">
        <f aca="false">IF(F26="Yes",G26&amp;" (significant)","Not significant")</f>
        <v>Increase (significant)</v>
      </c>
    </row>
    <row r="27" customFormat="false" ht="15" hidden="false" customHeight="false" outlineLevel="0" collapsed="false">
      <c r="A27" s="5" t="s">
        <v>501</v>
      </c>
      <c r="B27" s="5" t="s">
        <v>586</v>
      </c>
      <c r="C27" s="5" t="s">
        <v>701</v>
      </c>
      <c r="D27" s="5" t="s">
        <v>432</v>
      </c>
      <c r="E27" s="34" t="n">
        <v>0.4</v>
      </c>
      <c r="F27" s="5" t="s">
        <v>730</v>
      </c>
      <c r="G27" s="5" t="str">
        <f aca="false">IF(E27&gt;0,"Increase",IF(E27&lt;0,"Decrease","No change"))</f>
        <v>Increase</v>
      </c>
      <c r="H27" s="5" t="str">
        <f aca="false">IF(F27="Yes",G27&amp;" (significant)","Not significant")</f>
        <v>Not significant</v>
      </c>
    </row>
    <row r="28" customFormat="false" ht="15" hidden="false" customHeight="false" outlineLevel="0" collapsed="false">
      <c r="A28" s="5" t="s">
        <v>501</v>
      </c>
      <c r="B28" s="5" t="s">
        <v>586</v>
      </c>
      <c r="C28" s="5" t="s">
        <v>689</v>
      </c>
      <c r="D28" s="5" t="s">
        <v>463</v>
      </c>
      <c r="E28" s="34" t="n">
        <v>0.3</v>
      </c>
      <c r="F28" s="5" t="s">
        <v>694</v>
      </c>
      <c r="G28" s="5" t="str">
        <f aca="false">IF(E28&gt;0,"Increase",IF(E28&lt;0,"Decrease","No change"))</f>
        <v>Increase</v>
      </c>
      <c r="H28" s="5" t="str">
        <f aca="false">IF(F28="Yes",G28&amp;" (significant)","Not significant")</f>
        <v>Increase (significant)</v>
      </c>
    </row>
    <row r="29" customFormat="false" ht="15" hidden="false" customHeight="false" outlineLevel="0" collapsed="false">
      <c r="A29" s="5" t="s">
        <v>501</v>
      </c>
      <c r="B29" s="5" t="s">
        <v>586</v>
      </c>
      <c r="C29" s="5" t="s">
        <v>702</v>
      </c>
      <c r="D29" s="5" t="s">
        <v>437</v>
      </c>
      <c r="E29" s="34" t="n">
        <v>0.2</v>
      </c>
      <c r="F29" s="5" t="s">
        <v>730</v>
      </c>
      <c r="G29" s="5" t="str">
        <f aca="false">IF(E29&gt;0,"Increase",IF(E29&lt;0,"Decrease","No change"))</f>
        <v>Increase</v>
      </c>
      <c r="H29" s="5" t="str">
        <f aca="false">IF(F29="Yes",G29&amp;" (significant)","Not significant")</f>
        <v>Not significant</v>
      </c>
    </row>
    <row r="30" customFormat="false" ht="15" hidden="false" customHeight="false" outlineLevel="0" collapsed="false">
      <c r="A30" s="5" t="s">
        <v>501</v>
      </c>
      <c r="B30" s="5" t="s">
        <v>586</v>
      </c>
      <c r="C30" s="5" t="s">
        <v>697</v>
      </c>
      <c r="D30" s="5" t="s">
        <v>458</v>
      </c>
      <c r="E30" s="34" t="n">
        <v>0.1</v>
      </c>
      <c r="F30" s="5" t="s">
        <v>730</v>
      </c>
      <c r="G30" s="5" t="str">
        <f aca="false">IF(E30&gt;0,"Increase",IF(E30&lt;0,"Decrease","No change"))</f>
        <v>Increase</v>
      </c>
      <c r="H30" s="5" t="str">
        <f aca="false">IF(F30="Yes",G30&amp;" (significant)","Not significant")</f>
        <v>Not significant</v>
      </c>
    </row>
    <row r="31" customFormat="false" ht="15" hidden="false" customHeight="false" outlineLevel="0" collapsed="false">
      <c r="A31" s="5" t="s">
        <v>501</v>
      </c>
      <c r="B31" s="5" t="s">
        <v>586</v>
      </c>
      <c r="C31" s="5" t="s">
        <v>713</v>
      </c>
      <c r="D31" s="5" t="s">
        <v>437</v>
      </c>
      <c r="E31" s="34" t="n">
        <v>0</v>
      </c>
      <c r="F31" s="5" t="s">
        <v>730</v>
      </c>
      <c r="G31" s="5" t="str">
        <f aca="false">IF(E31&gt;0,"Increase",IF(E31&lt;0,"Decrease","No change"))</f>
        <v>No change</v>
      </c>
      <c r="H31" s="5" t="str">
        <f aca="false">IF(F31="Yes",G31&amp;" (significant)","Not significant")</f>
        <v>Not significant</v>
      </c>
    </row>
    <row r="32" customFormat="false" ht="15" hidden="false" customHeight="false" outlineLevel="0" collapsed="false">
      <c r="A32" s="5" t="s">
        <v>501</v>
      </c>
      <c r="B32" s="5" t="s">
        <v>586</v>
      </c>
      <c r="C32" s="5" t="s">
        <v>430</v>
      </c>
      <c r="D32" s="5" t="s">
        <v>421</v>
      </c>
      <c r="E32" s="34" t="n">
        <v>0</v>
      </c>
      <c r="F32" s="5" t="s">
        <v>730</v>
      </c>
      <c r="G32" s="5" t="str">
        <f aca="false">IF(E32&gt;0,"Increase",IF(E32&lt;0,"Decrease","No change"))</f>
        <v>No change</v>
      </c>
      <c r="H32" s="5" t="str">
        <f aca="false">IF(F32="Yes",G32&amp;" (significant)","Not significant")</f>
        <v>Not significant</v>
      </c>
    </row>
    <row r="33" customFormat="false" ht="15" hidden="false" customHeight="false" outlineLevel="0" collapsed="false">
      <c r="A33" s="5" t="s">
        <v>501</v>
      </c>
      <c r="B33" s="5" t="s">
        <v>586</v>
      </c>
      <c r="C33" s="5" t="s">
        <v>438</v>
      </c>
      <c r="D33" s="5" t="s">
        <v>437</v>
      </c>
      <c r="E33" s="34" t="n">
        <v>-0.6</v>
      </c>
      <c r="F33" s="5" t="s">
        <v>730</v>
      </c>
      <c r="G33" s="5" t="str">
        <f aca="false">IF(E33&gt;0,"Increase",IF(E33&lt;0,"Decrease","No change"))</f>
        <v>Decrease</v>
      </c>
      <c r="H33" s="5" t="str">
        <f aca="false">IF(F33="Yes",G33&amp;" (significant)","Not significant")</f>
        <v>Not significant</v>
      </c>
    </row>
    <row r="34" customFormat="false" ht="15" hidden="false" customHeight="false" outlineLevel="0" collapsed="false">
      <c r="A34" s="5" t="s">
        <v>528</v>
      </c>
      <c r="B34" s="5" t="s">
        <v>586</v>
      </c>
      <c r="C34" s="5" t="s">
        <v>693</v>
      </c>
      <c r="D34" s="5" t="s">
        <v>458</v>
      </c>
      <c r="E34" s="34" t="n">
        <v>6.8</v>
      </c>
      <c r="F34" s="5" t="s">
        <v>694</v>
      </c>
      <c r="G34" s="5" t="str">
        <f aca="false">IF(E34&gt;0,"Increase",IF(E34&lt;0,"Decrease","No change"))</f>
        <v>Increase</v>
      </c>
      <c r="H34" s="5" t="str">
        <f aca="false">IF(F34="Yes",G34&amp;" (significant)","Not significant")</f>
        <v>Increase (significant)</v>
      </c>
    </row>
    <row r="35" customFormat="false" ht="15" hidden="false" customHeight="false" outlineLevel="0" collapsed="false">
      <c r="A35" s="5" t="s">
        <v>528</v>
      </c>
      <c r="B35" s="5" t="s">
        <v>586</v>
      </c>
      <c r="C35" s="5" t="s">
        <v>438</v>
      </c>
      <c r="D35" s="5" t="s">
        <v>437</v>
      </c>
      <c r="E35" s="34" t="n">
        <v>5.8</v>
      </c>
      <c r="F35" s="5" t="s">
        <v>694</v>
      </c>
      <c r="G35" s="5" t="str">
        <f aca="false">IF(E35&gt;0,"Increase",IF(E35&lt;0,"Decrease","No change"))</f>
        <v>Increase</v>
      </c>
      <c r="H35" s="5" t="str">
        <f aca="false">IF(F35="Yes",G35&amp;" (significant)","Not significant")</f>
        <v>Increase (significant)</v>
      </c>
    </row>
    <row r="36" customFormat="false" ht="15" hidden="false" customHeight="false" outlineLevel="0" collapsed="false">
      <c r="A36" s="5" t="s">
        <v>528</v>
      </c>
      <c r="B36" s="5" t="s">
        <v>586</v>
      </c>
      <c r="C36" s="5" t="s">
        <v>714</v>
      </c>
      <c r="D36" s="5" t="s">
        <v>437</v>
      </c>
      <c r="E36" s="34" t="n">
        <v>5</v>
      </c>
      <c r="F36" s="5" t="s">
        <v>694</v>
      </c>
      <c r="G36" s="5" t="str">
        <f aca="false">IF(E36&gt;0,"Increase",IF(E36&lt;0,"Decrease","No change"))</f>
        <v>Increase</v>
      </c>
      <c r="H36" s="5" t="str">
        <f aca="false">IF(F36="Yes",G36&amp;" (significant)","Not significant")</f>
        <v>Increase (significant)</v>
      </c>
    </row>
    <row r="37" customFormat="false" ht="15" hidden="false" customHeight="false" outlineLevel="0" collapsed="false">
      <c r="A37" s="5" t="s">
        <v>528</v>
      </c>
      <c r="B37" s="5" t="s">
        <v>586</v>
      </c>
      <c r="C37" s="5" t="s">
        <v>446</v>
      </c>
      <c r="D37" s="5" t="s">
        <v>437</v>
      </c>
      <c r="E37" s="34" t="n">
        <v>4.6</v>
      </c>
      <c r="F37" s="5" t="s">
        <v>694</v>
      </c>
      <c r="G37" s="5" t="str">
        <f aca="false">IF(E37&gt;0,"Increase",IF(E37&lt;0,"Decrease","No change"))</f>
        <v>Increase</v>
      </c>
      <c r="H37" s="5" t="str">
        <f aca="false">IF(F37="Yes",G37&amp;" (significant)","Not significant")</f>
        <v>Increase (significant)</v>
      </c>
    </row>
    <row r="38" customFormat="false" ht="15" hidden="false" customHeight="false" outlineLevel="0" collapsed="false">
      <c r="A38" s="5" t="s">
        <v>528</v>
      </c>
      <c r="B38" s="5" t="s">
        <v>586</v>
      </c>
      <c r="C38" s="5" t="s">
        <v>713</v>
      </c>
      <c r="D38" s="5" t="s">
        <v>437</v>
      </c>
      <c r="E38" s="34" t="n">
        <v>4.1</v>
      </c>
      <c r="F38" s="5" t="s">
        <v>694</v>
      </c>
      <c r="G38" s="5" t="str">
        <f aca="false">IF(E38&gt;0,"Increase",IF(E38&lt;0,"Decrease","No change"))</f>
        <v>Increase</v>
      </c>
      <c r="H38" s="5" t="str">
        <f aca="false">IF(F38="Yes",G38&amp;" (significant)","Not significant")</f>
        <v>Increase (significant)</v>
      </c>
    </row>
    <row r="39" customFormat="false" ht="15" hidden="false" customHeight="false" outlineLevel="0" collapsed="false">
      <c r="A39" s="5" t="s">
        <v>528</v>
      </c>
      <c r="B39" s="5" t="s">
        <v>586</v>
      </c>
      <c r="C39" s="5" t="s">
        <v>698</v>
      </c>
      <c r="D39" s="5" t="s">
        <v>458</v>
      </c>
      <c r="E39" s="34" t="n">
        <v>3.8</v>
      </c>
      <c r="F39" s="5" t="s">
        <v>694</v>
      </c>
      <c r="G39" s="5" t="str">
        <f aca="false">IF(E39&gt;0,"Increase",IF(E39&lt;0,"Decrease","No change"))</f>
        <v>Increase</v>
      </c>
      <c r="H39" s="5" t="str">
        <f aca="false">IF(F39="Yes",G39&amp;" (significant)","Not significant")</f>
        <v>Increase (significant)</v>
      </c>
    </row>
    <row r="40" customFormat="false" ht="15" hidden="false" customHeight="false" outlineLevel="0" collapsed="false">
      <c r="A40" s="5" t="s">
        <v>528</v>
      </c>
      <c r="B40" s="5" t="s">
        <v>586</v>
      </c>
      <c r="C40" s="5" t="s">
        <v>729</v>
      </c>
      <c r="D40" s="5" t="s">
        <v>463</v>
      </c>
      <c r="E40" s="34" t="n">
        <v>3.3</v>
      </c>
      <c r="F40" s="5" t="s">
        <v>694</v>
      </c>
      <c r="G40" s="5" t="str">
        <f aca="false">IF(E40&gt;0,"Increase",IF(E40&lt;0,"Decrease","No change"))</f>
        <v>Increase</v>
      </c>
      <c r="H40" s="5" t="str">
        <f aca="false">IF(F40="Yes",G40&amp;" (significant)","Not significant")</f>
        <v>Increase (significant)</v>
      </c>
    </row>
    <row r="41" customFormat="false" ht="15" hidden="false" customHeight="false" outlineLevel="0" collapsed="false">
      <c r="A41" s="5" t="s">
        <v>528</v>
      </c>
      <c r="B41" s="5" t="s">
        <v>586</v>
      </c>
      <c r="C41" s="5" t="s">
        <v>688</v>
      </c>
      <c r="D41" s="5" t="s">
        <v>463</v>
      </c>
      <c r="E41" s="34" t="n">
        <v>3.1</v>
      </c>
      <c r="F41" s="5" t="s">
        <v>694</v>
      </c>
      <c r="G41" s="5" t="str">
        <f aca="false">IF(E41&gt;0,"Increase",IF(E41&lt;0,"Decrease","No change"))</f>
        <v>Increase</v>
      </c>
      <c r="H41" s="5" t="str">
        <f aca="false">IF(F41="Yes",G41&amp;" (significant)","Not significant")</f>
        <v>Increase (significant)</v>
      </c>
    </row>
    <row r="42" customFormat="false" ht="15" hidden="false" customHeight="false" outlineLevel="0" collapsed="false">
      <c r="A42" s="5" t="s">
        <v>528</v>
      </c>
      <c r="B42" s="5" t="s">
        <v>586</v>
      </c>
      <c r="C42" s="5" t="s">
        <v>702</v>
      </c>
      <c r="D42" s="5" t="s">
        <v>437</v>
      </c>
      <c r="E42" s="34" t="n">
        <v>3</v>
      </c>
      <c r="F42" s="5" t="s">
        <v>694</v>
      </c>
      <c r="G42" s="5" t="str">
        <f aca="false">IF(E42&gt;0,"Increase",IF(E42&lt;0,"Decrease","No change"))</f>
        <v>Increase</v>
      </c>
      <c r="H42" s="5" t="str">
        <f aca="false">IF(F42="Yes",G42&amp;" (significant)","Not significant")</f>
        <v>Increase (significant)</v>
      </c>
    </row>
    <row r="43" customFormat="false" ht="15" hidden="false" customHeight="false" outlineLevel="0" collapsed="false">
      <c r="A43" s="5" t="s">
        <v>528</v>
      </c>
      <c r="B43" s="5" t="s">
        <v>586</v>
      </c>
      <c r="C43" s="5" t="s">
        <v>686</v>
      </c>
      <c r="D43" s="5" t="s">
        <v>463</v>
      </c>
      <c r="E43" s="34" t="n">
        <v>2.7</v>
      </c>
      <c r="F43" s="5" t="s">
        <v>694</v>
      </c>
      <c r="G43" s="5" t="str">
        <f aca="false">IF(E43&gt;0,"Increase",IF(E43&lt;0,"Decrease","No change"))</f>
        <v>Increase</v>
      </c>
      <c r="H43" s="5" t="str">
        <f aca="false">IF(F43="Yes",G43&amp;" (significant)","Not significant")</f>
        <v>Increase (significant)</v>
      </c>
    </row>
    <row r="44" customFormat="false" ht="15" hidden="false" customHeight="false" outlineLevel="0" collapsed="false">
      <c r="A44" s="5" t="s">
        <v>528</v>
      </c>
      <c r="B44" s="5" t="s">
        <v>586</v>
      </c>
      <c r="C44" s="5" t="s">
        <v>689</v>
      </c>
      <c r="D44" s="5" t="s">
        <v>463</v>
      </c>
      <c r="E44" s="34" t="n">
        <v>2.6</v>
      </c>
      <c r="F44" s="5" t="s">
        <v>694</v>
      </c>
      <c r="G44" s="5" t="str">
        <f aca="false">IF(E44&gt;0,"Increase",IF(E44&lt;0,"Decrease","No change"))</f>
        <v>Increase</v>
      </c>
      <c r="H44" s="5" t="str">
        <f aca="false">IF(F44="Yes",G44&amp;" (significant)","Not significant")</f>
        <v>Increase (significant)</v>
      </c>
    </row>
    <row r="45" customFormat="false" ht="15" hidden="false" customHeight="false" outlineLevel="0" collapsed="false">
      <c r="A45" s="5" t="s">
        <v>528</v>
      </c>
      <c r="B45" s="5" t="s">
        <v>586</v>
      </c>
      <c r="C45" s="5" t="s">
        <v>700</v>
      </c>
      <c r="D45" s="5" t="s">
        <v>432</v>
      </c>
      <c r="E45" s="34" t="n">
        <v>2.1</v>
      </c>
      <c r="F45" s="5" t="s">
        <v>694</v>
      </c>
      <c r="G45" s="5" t="str">
        <f aca="false">IF(E45&gt;0,"Increase",IF(E45&lt;0,"Decrease","No change"))</f>
        <v>Increase</v>
      </c>
      <c r="H45" s="5" t="str">
        <f aca="false">IF(F45="Yes",G45&amp;" (significant)","Not significant")</f>
        <v>Increase (significant)</v>
      </c>
    </row>
    <row r="46" customFormat="false" ht="15" hidden="false" customHeight="false" outlineLevel="0" collapsed="false">
      <c r="A46" s="5" t="s">
        <v>528</v>
      </c>
      <c r="B46" s="5" t="s">
        <v>586</v>
      </c>
      <c r="C46" s="5" t="s">
        <v>430</v>
      </c>
      <c r="D46" s="5" t="s">
        <v>421</v>
      </c>
      <c r="E46" s="34" t="n">
        <v>1.5</v>
      </c>
      <c r="F46" s="5" t="s">
        <v>694</v>
      </c>
      <c r="G46" s="5" t="str">
        <f aca="false">IF(E46&gt;0,"Increase",IF(E46&lt;0,"Decrease","No change"))</f>
        <v>Increase</v>
      </c>
      <c r="H46" s="5" t="str">
        <f aca="false">IF(F46="Yes",G46&amp;" (significant)","Not significant")</f>
        <v>Increase (significant)</v>
      </c>
    </row>
    <row r="47" customFormat="false" ht="15" hidden="false" customHeight="false" outlineLevel="0" collapsed="false">
      <c r="A47" s="5" t="s">
        <v>528</v>
      </c>
      <c r="B47" s="5" t="s">
        <v>586</v>
      </c>
      <c r="C47" s="5" t="s">
        <v>697</v>
      </c>
      <c r="D47" s="5" t="s">
        <v>458</v>
      </c>
      <c r="E47" s="34" t="n">
        <v>1.4</v>
      </c>
      <c r="F47" s="5" t="s">
        <v>694</v>
      </c>
      <c r="G47" s="5" t="str">
        <f aca="false">IF(E47&gt;0,"Increase",IF(E47&lt;0,"Decrease","No change"))</f>
        <v>Increase</v>
      </c>
      <c r="H47" s="5" t="str">
        <f aca="false">IF(F47="Yes",G47&amp;" (significant)","Not significant")</f>
        <v>Increase (significant)</v>
      </c>
    </row>
    <row r="48" customFormat="false" ht="15" hidden="false" customHeight="false" outlineLevel="0" collapsed="false">
      <c r="A48" s="5" t="s">
        <v>528</v>
      </c>
      <c r="B48" s="5" t="s">
        <v>586</v>
      </c>
      <c r="C48" s="5" t="s">
        <v>696</v>
      </c>
      <c r="D48" s="5" t="s">
        <v>458</v>
      </c>
      <c r="E48" s="34" t="n">
        <v>0.5</v>
      </c>
      <c r="F48" s="5" t="s">
        <v>694</v>
      </c>
      <c r="G48" s="5" t="str">
        <f aca="false">IF(E48&gt;0,"Increase",IF(E48&lt;0,"Decrease","No change"))</f>
        <v>Increase</v>
      </c>
      <c r="H48" s="5" t="str">
        <f aca="false">IF(F48="Yes",G48&amp;" (significant)","Not significant")</f>
        <v>Increase (significant)</v>
      </c>
    </row>
    <row r="49" customFormat="false" ht="15" hidden="false" customHeight="false" outlineLevel="0" collapsed="false">
      <c r="A49" s="5" t="s">
        <v>528</v>
      </c>
      <c r="B49" s="5" t="s">
        <v>586</v>
      </c>
      <c r="C49" s="5" t="s">
        <v>701</v>
      </c>
      <c r="D49" s="5" t="s">
        <v>432</v>
      </c>
      <c r="E49" s="34" t="n">
        <v>0.4</v>
      </c>
      <c r="F49" s="5" t="s">
        <v>730</v>
      </c>
      <c r="G49" s="5" t="str">
        <f aca="false">IF(E49&gt;0,"Increase",IF(E49&lt;0,"Decrease","No change"))</f>
        <v>Increase</v>
      </c>
      <c r="H49" s="5" t="str">
        <f aca="false">IF(F49="Yes",G49&amp;" (significant)","Not significant")</f>
        <v>Not significant</v>
      </c>
    </row>
    <row r="50" customFormat="false" ht="15" hidden="false" customHeight="false" outlineLevel="0" collapsed="false">
      <c r="A50" s="5" t="s">
        <v>731</v>
      </c>
      <c r="B50" s="5" t="s">
        <v>586</v>
      </c>
      <c r="C50" s="5" t="s">
        <v>446</v>
      </c>
      <c r="D50" s="5" t="s">
        <v>437</v>
      </c>
      <c r="E50" s="34" t="n">
        <v>2.1</v>
      </c>
      <c r="F50" s="5" t="s">
        <v>730</v>
      </c>
      <c r="G50" s="5" t="str">
        <f aca="false">IF(E50&gt;0,"Increase",IF(E50&lt;0,"Decrease","No change"))</f>
        <v>Increase</v>
      </c>
      <c r="H50" s="5" t="str">
        <f aca="false">IF(F50="Yes",G50&amp;" (significant)","Not significant")</f>
        <v>Not significant</v>
      </c>
    </row>
    <row r="51" customFormat="false" ht="15" hidden="false" customHeight="false" outlineLevel="0" collapsed="false">
      <c r="A51" s="5" t="s">
        <v>731</v>
      </c>
      <c r="B51" s="5" t="s">
        <v>586</v>
      </c>
      <c r="C51" s="5" t="s">
        <v>693</v>
      </c>
      <c r="D51" s="5" t="s">
        <v>458</v>
      </c>
      <c r="E51" s="34" t="n">
        <v>2.1</v>
      </c>
      <c r="F51" s="5" t="s">
        <v>730</v>
      </c>
      <c r="G51" s="5" t="str">
        <f aca="false">IF(E51&gt;0,"Increase",IF(E51&lt;0,"Decrease","No change"))</f>
        <v>Increase</v>
      </c>
      <c r="H51" s="5" t="str">
        <f aca="false">IF(F51="Yes",G51&amp;" (significant)","Not significant")</f>
        <v>Not significant</v>
      </c>
    </row>
    <row r="52" customFormat="false" ht="15" hidden="false" customHeight="false" outlineLevel="0" collapsed="false">
      <c r="A52" s="5" t="s">
        <v>731</v>
      </c>
      <c r="B52" s="5" t="s">
        <v>586</v>
      </c>
      <c r="C52" s="5" t="s">
        <v>438</v>
      </c>
      <c r="D52" s="5" t="s">
        <v>437</v>
      </c>
      <c r="E52" s="34" t="n">
        <v>0.3</v>
      </c>
      <c r="F52" s="5" t="s">
        <v>730</v>
      </c>
      <c r="G52" s="5" t="str">
        <f aca="false">IF(E52&gt;0,"Increase",IF(E52&lt;0,"Decrease","No change"))</f>
        <v>Increase</v>
      </c>
      <c r="H52" s="5" t="str">
        <f aca="false">IF(F52="Yes",G52&amp;" (significant)","Not significant")</f>
        <v>Not significant</v>
      </c>
    </row>
    <row r="53" customFormat="false" ht="15" hidden="false" customHeight="false" outlineLevel="0" collapsed="false">
      <c r="A53" s="5" t="s">
        <v>731</v>
      </c>
      <c r="B53" s="5" t="s">
        <v>586</v>
      </c>
      <c r="C53" s="5" t="s">
        <v>714</v>
      </c>
      <c r="D53" s="5" t="s">
        <v>437</v>
      </c>
      <c r="E53" s="34" t="n">
        <v>0</v>
      </c>
      <c r="F53" s="5" t="s">
        <v>730</v>
      </c>
      <c r="G53" s="5" t="str">
        <f aca="false">IF(E53&gt;0,"Increase",IF(E53&lt;0,"Decrease","No change"))</f>
        <v>No change</v>
      </c>
      <c r="H53" s="5" t="str">
        <f aca="false">IF(F53="Yes",G53&amp;" (significant)","Not significant")</f>
        <v>Not significant</v>
      </c>
    </row>
    <row r="54" customFormat="false" ht="15" hidden="false" customHeight="false" outlineLevel="0" collapsed="false">
      <c r="A54" s="5" t="s">
        <v>731</v>
      </c>
      <c r="B54" s="5" t="s">
        <v>586</v>
      </c>
      <c r="C54" s="5" t="s">
        <v>713</v>
      </c>
      <c r="D54" s="5" t="s">
        <v>437</v>
      </c>
      <c r="E54" s="34" t="n">
        <v>-1.5</v>
      </c>
      <c r="F54" s="5" t="s">
        <v>730</v>
      </c>
      <c r="G54" s="5" t="str">
        <f aca="false">IF(E54&gt;0,"Increase",IF(E54&lt;0,"Decrease","No change"))</f>
        <v>Decrease</v>
      </c>
      <c r="H54" s="5" t="str">
        <f aca="false">IF(F54="Yes",G54&amp;" (significant)","Not significant")</f>
        <v>Not significant</v>
      </c>
    </row>
    <row r="55" customFormat="false" ht="15" hidden="false" customHeight="false" outlineLevel="0" collapsed="false">
      <c r="A55" s="5" t="s">
        <v>731</v>
      </c>
      <c r="B55" s="5" t="s">
        <v>586</v>
      </c>
      <c r="C55" s="5" t="s">
        <v>688</v>
      </c>
      <c r="D55" s="5" t="s">
        <v>463</v>
      </c>
      <c r="E55" s="34" t="n">
        <v>-1.9</v>
      </c>
      <c r="F55" s="5" t="s">
        <v>694</v>
      </c>
      <c r="G55" s="5" t="str">
        <f aca="false">IF(E55&gt;0,"Increase",IF(E55&lt;0,"Decrease","No change"))</f>
        <v>Decrease</v>
      </c>
      <c r="H55" s="5" t="str">
        <f aca="false">IF(F55="Yes",G55&amp;" (significant)","Not significant")</f>
        <v>Decrease (significant)</v>
      </c>
    </row>
    <row r="56" customFormat="false" ht="15" hidden="false" customHeight="false" outlineLevel="0" collapsed="false">
      <c r="A56" s="5" t="s">
        <v>731</v>
      </c>
      <c r="B56" s="5" t="s">
        <v>586</v>
      </c>
      <c r="C56" s="5" t="s">
        <v>700</v>
      </c>
      <c r="D56" s="5" t="s">
        <v>432</v>
      </c>
      <c r="E56" s="34" t="n">
        <v>-2.1</v>
      </c>
      <c r="F56" s="5" t="s">
        <v>694</v>
      </c>
      <c r="G56" s="5" t="str">
        <f aca="false">IF(E56&gt;0,"Increase",IF(E56&lt;0,"Decrease","No change"))</f>
        <v>Decrease</v>
      </c>
      <c r="H56" s="5" t="str">
        <f aca="false">IF(F56="Yes",G56&amp;" (significant)","Not significant")</f>
        <v>Decrease (significant)</v>
      </c>
    </row>
    <row r="57" customFormat="false" ht="15" hidden="false" customHeight="false" outlineLevel="0" collapsed="false">
      <c r="A57" s="5" t="s">
        <v>731</v>
      </c>
      <c r="B57" s="5" t="s">
        <v>586</v>
      </c>
      <c r="C57" s="5" t="s">
        <v>698</v>
      </c>
      <c r="D57" s="5" t="s">
        <v>458</v>
      </c>
      <c r="E57" s="34" t="n">
        <v>-2.3</v>
      </c>
      <c r="F57" s="5" t="s">
        <v>730</v>
      </c>
      <c r="G57" s="5" t="str">
        <f aca="false">IF(E57&gt;0,"Increase",IF(E57&lt;0,"Decrease","No change"))</f>
        <v>Decrease</v>
      </c>
      <c r="H57" s="5" t="str">
        <f aca="false">IF(F57="Yes",G57&amp;" (significant)","Not significant")</f>
        <v>Not significant</v>
      </c>
    </row>
    <row r="58" customFormat="false" ht="15" hidden="false" customHeight="false" outlineLevel="0" collapsed="false">
      <c r="A58" s="5" t="s">
        <v>731</v>
      </c>
      <c r="B58" s="5" t="s">
        <v>586</v>
      </c>
      <c r="C58" s="5" t="s">
        <v>697</v>
      </c>
      <c r="D58" s="5" t="s">
        <v>458</v>
      </c>
      <c r="E58" s="34" t="n">
        <v>-2.4</v>
      </c>
      <c r="F58" s="5" t="s">
        <v>694</v>
      </c>
      <c r="G58" s="5" t="str">
        <f aca="false">IF(E58&gt;0,"Increase",IF(E58&lt;0,"Decrease","No change"))</f>
        <v>Decrease</v>
      </c>
      <c r="H58" s="5" t="str">
        <f aca="false">IF(F58="Yes",G58&amp;" (significant)","Not significant")</f>
        <v>Decrease (significant)</v>
      </c>
    </row>
    <row r="59" customFormat="false" ht="15" hidden="false" customHeight="false" outlineLevel="0" collapsed="false">
      <c r="A59" s="5" t="s">
        <v>731</v>
      </c>
      <c r="B59" s="5" t="s">
        <v>586</v>
      </c>
      <c r="C59" s="5" t="s">
        <v>696</v>
      </c>
      <c r="D59" s="5" t="s">
        <v>458</v>
      </c>
      <c r="E59" s="34" t="n">
        <v>-2.4</v>
      </c>
      <c r="F59" s="5" t="s">
        <v>694</v>
      </c>
      <c r="G59" s="5" t="str">
        <f aca="false">IF(E59&gt;0,"Increase",IF(E59&lt;0,"Decrease","No change"))</f>
        <v>Decrease</v>
      </c>
      <c r="H59" s="5" t="str">
        <f aca="false">IF(F59="Yes",G59&amp;" (significant)","Not significant")</f>
        <v>Decrease (significant)</v>
      </c>
    </row>
    <row r="60" customFormat="false" ht="15" hidden="false" customHeight="false" outlineLevel="0" collapsed="false">
      <c r="A60" s="5" t="s">
        <v>731</v>
      </c>
      <c r="B60" s="5" t="s">
        <v>586</v>
      </c>
      <c r="C60" s="5" t="s">
        <v>430</v>
      </c>
      <c r="D60" s="5" t="s">
        <v>421</v>
      </c>
      <c r="E60" s="34" t="n">
        <v>-2.8</v>
      </c>
      <c r="F60" s="5" t="s">
        <v>694</v>
      </c>
      <c r="G60" s="5" t="str">
        <f aca="false">IF(E60&gt;0,"Increase",IF(E60&lt;0,"Decrease","No change"))</f>
        <v>Decrease</v>
      </c>
      <c r="H60" s="5" t="str">
        <f aca="false">IF(F60="Yes",G60&amp;" (significant)","Not significant")</f>
        <v>Decrease (significant)</v>
      </c>
    </row>
    <row r="61" customFormat="false" ht="15" hidden="false" customHeight="false" outlineLevel="0" collapsed="false">
      <c r="A61" s="5" t="s">
        <v>731</v>
      </c>
      <c r="B61" s="5" t="s">
        <v>586</v>
      </c>
      <c r="C61" s="5" t="s">
        <v>686</v>
      </c>
      <c r="D61" s="5" t="s">
        <v>463</v>
      </c>
      <c r="E61" s="34" t="n">
        <v>-3.1</v>
      </c>
      <c r="F61" s="5" t="s">
        <v>694</v>
      </c>
      <c r="G61" s="5" t="str">
        <f aca="false">IF(E61&gt;0,"Increase",IF(E61&lt;0,"Decrease","No change"))</f>
        <v>Decrease</v>
      </c>
      <c r="H61" s="5" t="str">
        <f aca="false">IF(F61="Yes",G61&amp;" (significant)","Not significant")</f>
        <v>Decrease (significant)</v>
      </c>
    </row>
    <row r="62" customFormat="false" ht="15" hidden="false" customHeight="false" outlineLevel="0" collapsed="false">
      <c r="A62" s="5" t="s">
        <v>731</v>
      </c>
      <c r="B62" s="5" t="s">
        <v>586</v>
      </c>
      <c r="C62" s="5" t="s">
        <v>701</v>
      </c>
      <c r="D62" s="5" t="s">
        <v>432</v>
      </c>
      <c r="E62" s="34" t="n">
        <v>-3.1</v>
      </c>
      <c r="F62" s="5" t="s">
        <v>694</v>
      </c>
      <c r="G62" s="5" t="str">
        <f aca="false">IF(E62&gt;0,"Increase",IF(E62&lt;0,"Decrease","No change"))</f>
        <v>Decrease</v>
      </c>
      <c r="H62" s="5" t="str">
        <f aca="false">IF(F62="Yes",G62&amp;" (significant)","Not significant")</f>
        <v>Decrease (significant)</v>
      </c>
    </row>
    <row r="63" customFormat="false" ht="15" hidden="false" customHeight="false" outlineLevel="0" collapsed="false">
      <c r="A63" s="5" t="s">
        <v>731</v>
      </c>
      <c r="B63" s="5" t="s">
        <v>586</v>
      </c>
      <c r="C63" s="5" t="s">
        <v>689</v>
      </c>
      <c r="D63" s="5" t="s">
        <v>463</v>
      </c>
      <c r="E63" s="34" t="n">
        <v>-3.5</v>
      </c>
      <c r="F63" s="5" t="s">
        <v>694</v>
      </c>
      <c r="G63" s="5" t="str">
        <f aca="false">IF(E63&gt;0,"Increase",IF(E63&lt;0,"Decrease","No change"))</f>
        <v>Decrease</v>
      </c>
      <c r="H63" s="5" t="str">
        <f aca="false">IF(F63="Yes",G63&amp;" (significant)","Not significant")</f>
        <v>Decrease (significant)</v>
      </c>
    </row>
    <row r="64" customFormat="false" ht="15" hidden="false" customHeight="false" outlineLevel="0" collapsed="false">
      <c r="A64" s="5" t="s">
        <v>731</v>
      </c>
      <c r="B64" s="5" t="s">
        <v>586</v>
      </c>
      <c r="C64" s="5" t="s">
        <v>729</v>
      </c>
      <c r="D64" s="5" t="s">
        <v>463</v>
      </c>
      <c r="E64" s="34" t="n">
        <v>-4.3</v>
      </c>
      <c r="F64" s="5" t="s">
        <v>694</v>
      </c>
      <c r="G64" s="5" t="str">
        <f aca="false">IF(E64&gt;0,"Increase",IF(E64&lt;0,"Decrease","No change"))</f>
        <v>Decrease</v>
      </c>
      <c r="H64" s="5" t="str">
        <f aca="false">IF(F64="Yes",G64&amp;" (significant)","Not significant")</f>
        <v>Decrease (significant)</v>
      </c>
    </row>
    <row r="65" customFormat="false" ht="15" hidden="false" customHeight="false" outlineLevel="0" collapsed="false">
      <c r="A65" s="5" t="s">
        <v>731</v>
      </c>
      <c r="B65" s="5" t="s">
        <v>586</v>
      </c>
      <c r="C65" s="5" t="s">
        <v>702</v>
      </c>
      <c r="D65" s="5" t="s">
        <v>437</v>
      </c>
      <c r="E65" s="34" t="n">
        <v>-5.7</v>
      </c>
      <c r="F65" s="5" t="s">
        <v>694</v>
      </c>
      <c r="G65" s="5" t="str">
        <f aca="false">IF(E65&gt;0,"Increase",IF(E65&lt;0,"Decrease","No change"))</f>
        <v>Decrease</v>
      </c>
      <c r="H65" s="5" t="str">
        <f aca="false">IF(F65="Yes",G65&amp;" (significant)","Not significant")</f>
        <v>Decrease (significant)</v>
      </c>
    </row>
    <row r="66" customFormat="false" ht="15" hidden="false" customHeight="false" outlineLevel="0" collapsed="false">
      <c r="A66" s="5" t="s">
        <v>732</v>
      </c>
      <c r="B66" s="5" t="s">
        <v>574</v>
      </c>
      <c r="C66" s="5" t="s">
        <v>693</v>
      </c>
      <c r="D66" s="5" t="s">
        <v>458</v>
      </c>
      <c r="E66" s="34" t="n">
        <v>4.4</v>
      </c>
      <c r="F66" s="5" t="s">
        <v>694</v>
      </c>
      <c r="G66" s="5" t="str">
        <f aca="false">IF(E66&gt;0,"Increase",IF(E66&lt;0,"Decrease","No change"))</f>
        <v>Increase</v>
      </c>
      <c r="H66" s="5" t="str">
        <f aca="false">IF(F66="Yes",G66&amp;" (significant)","Not significant")</f>
        <v>Increase (significant)</v>
      </c>
    </row>
    <row r="67" customFormat="false" ht="15" hidden="false" customHeight="false" outlineLevel="0" collapsed="false">
      <c r="A67" s="5" t="s">
        <v>732</v>
      </c>
      <c r="B67" s="5" t="s">
        <v>574</v>
      </c>
      <c r="C67" s="5" t="s">
        <v>701</v>
      </c>
      <c r="D67" s="5" t="s">
        <v>432</v>
      </c>
      <c r="E67" s="34" t="n">
        <v>1.7</v>
      </c>
      <c r="F67" s="5" t="s">
        <v>730</v>
      </c>
      <c r="G67" s="5" t="str">
        <f aca="false">IF(E67&gt;0,"Increase",IF(E67&lt;0,"Decrease","No change"))</f>
        <v>Increase</v>
      </c>
      <c r="H67" s="5" t="str">
        <f aca="false">IF(F67="Yes",G67&amp;" (significant)","Not significant")</f>
        <v>Not significant</v>
      </c>
    </row>
    <row r="68" customFormat="false" ht="15" hidden="false" customHeight="false" outlineLevel="0" collapsed="false">
      <c r="A68" s="5" t="s">
        <v>732</v>
      </c>
      <c r="B68" s="5" t="s">
        <v>574</v>
      </c>
      <c r="C68" s="5" t="s">
        <v>698</v>
      </c>
      <c r="D68" s="5" t="s">
        <v>458</v>
      </c>
      <c r="E68" s="34" t="n">
        <v>1.7</v>
      </c>
      <c r="F68" s="5" t="s">
        <v>730</v>
      </c>
      <c r="G68" s="5" t="str">
        <f aca="false">IF(E68&gt;0,"Increase",IF(E68&lt;0,"Decrease","No change"))</f>
        <v>Increase</v>
      </c>
      <c r="H68" s="5" t="str">
        <f aca="false">IF(F68="Yes",G68&amp;" (significant)","Not significant")</f>
        <v>Not significant</v>
      </c>
    </row>
    <row r="69" customFormat="false" ht="15" hidden="false" customHeight="false" outlineLevel="0" collapsed="false">
      <c r="A69" s="5" t="s">
        <v>732</v>
      </c>
      <c r="B69" s="5" t="s">
        <v>574</v>
      </c>
      <c r="C69" s="5" t="s">
        <v>714</v>
      </c>
      <c r="D69" s="5" t="s">
        <v>437</v>
      </c>
      <c r="E69" s="34" t="n">
        <v>1.4</v>
      </c>
      <c r="F69" s="5" t="s">
        <v>730</v>
      </c>
      <c r="G69" s="5" t="str">
        <f aca="false">IF(E69&gt;0,"Increase",IF(E69&lt;0,"Decrease","No change"))</f>
        <v>Increase</v>
      </c>
      <c r="H69" s="5" t="str">
        <f aca="false">IF(F69="Yes",G69&amp;" (significant)","Not significant")</f>
        <v>Not significant</v>
      </c>
    </row>
    <row r="70" customFormat="false" ht="15" hidden="false" customHeight="false" outlineLevel="0" collapsed="false">
      <c r="A70" s="5" t="s">
        <v>732</v>
      </c>
      <c r="B70" s="5" t="s">
        <v>574</v>
      </c>
      <c r="C70" s="5" t="s">
        <v>430</v>
      </c>
      <c r="D70" s="5" t="s">
        <v>421</v>
      </c>
      <c r="E70" s="34" t="n">
        <v>1.3</v>
      </c>
      <c r="F70" s="5" t="s">
        <v>694</v>
      </c>
      <c r="G70" s="5" t="str">
        <f aca="false">IF(E70&gt;0,"Increase",IF(E70&lt;0,"Decrease","No change"))</f>
        <v>Increase</v>
      </c>
      <c r="H70" s="5" t="str">
        <f aca="false">IF(F70="Yes",G70&amp;" (significant)","Not significant")</f>
        <v>Increase (significant)</v>
      </c>
    </row>
    <row r="71" customFormat="false" ht="15" hidden="false" customHeight="false" outlineLevel="0" collapsed="false">
      <c r="A71" s="5" t="s">
        <v>732</v>
      </c>
      <c r="B71" s="5" t="s">
        <v>574</v>
      </c>
      <c r="C71" s="5" t="s">
        <v>446</v>
      </c>
      <c r="D71" s="5" t="s">
        <v>437</v>
      </c>
      <c r="E71" s="34" t="n">
        <v>0.9</v>
      </c>
      <c r="F71" s="5" t="s">
        <v>730</v>
      </c>
      <c r="G71" s="5" t="str">
        <f aca="false">IF(E71&gt;0,"Increase",IF(E71&lt;0,"Decrease","No change"))</f>
        <v>Increase</v>
      </c>
      <c r="H71" s="5" t="str">
        <f aca="false">IF(F71="Yes",G71&amp;" (significant)","Not significant")</f>
        <v>Not significant</v>
      </c>
    </row>
    <row r="72" customFormat="false" ht="15" hidden="false" customHeight="false" outlineLevel="0" collapsed="false">
      <c r="A72" s="5" t="s">
        <v>732</v>
      </c>
      <c r="B72" s="5" t="s">
        <v>574</v>
      </c>
      <c r="C72" s="5" t="s">
        <v>689</v>
      </c>
      <c r="D72" s="5" t="s">
        <v>463</v>
      </c>
      <c r="E72" s="34" t="n">
        <v>0.6</v>
      </c>
      <c r="F72" s="5" t="s">
        <v>694</v>
      </c>
      <c r="G72" s="5" t="str">
        <f aca="false">IF(E72&gt;0,"Increase",IF(E72&lt;0,"Decrease","No change"))</f>
        <v>Increase</v>
      </c>
      <c r="H72" s="5" t="str">
        <f aca="false">IF(F72="Yes",G72&amp;" (significant)","Not significant")</f>
        <v>Increase (significant)</v>
      </c>
    </row>
    <row r="73" customFormat="false" ht="15" hidden="false" customHeight="false" outlineLevel="0" collapsed="false">
      <c r="A73" s="5" t="s">
        <v>732</v>
      </c>
      <c r="B73" s="5" t="s">
        <v>574</v>
      </c>
      <c r="C73" s="5" t="s">
        <v>700</v>
      </c>
      <c r="D73" s="5" t="s">
        <v>432</v>
      </c>
      <c r="E73" s="34" t="n">
        <v>0.6</v>
      </c>
      <c r="F73" s="5" t="s">
        <v>694</v>
      </c>
      <c r="G73" s="5" t="str">
        <f aca="false">IF(E73&gt;0,"Increase",IF(E73&lt;0,"Decrease","No change"))</f>
        <v>Increase</v>
      </c>
      <c r="H73" s="5" t="str">
        <f aca="false">IF(F73="Yes",G73&amp;" (significant)","Not significant")</f>
        <v>Increase (significant)</v>
      </c>
    </row>
    <row r="74" customFormat="false" ht="15" hidden="false" customHeight="false" outlineLevel="0" collapsed="false">
      <c r="A74" s="5" t="s">
        <v>732</v>
      </c>
      <c r="B74" s="5" t="s">
        <v>574</v>
      </c>
      <c r="C74" s="5" t="s">
        <v>688</v>
      </c>
      <c r="D74" s="5" t="s">
        <v>463</v>
      </c>
      <c r="E74" s="34" t="n">
        <v>0</v>
      </c>
      <c r="F74" s="5" t="s">
        <v>730</v>
      </c>
      <c r="G74" s="5" t="str">
        <f aca="false">IF(E74&gt;0,"Increase",IF(E74&lt;0,"Decrease","No change"))</f>
        <v>No change</v>
      </c>
      <c r="H74" s="5" t="str">
        <f aca="false">IF(F74="Yes",G74&amp;" (significant)","Not significant")</f>
        <v>Not significant</v>
      </c>
    </row>
    <row r="75" customFormat="false" ht="15" hidden="false" customHeight="false" outlineLevel="0" collapsed="false">
      <c r="A75" s="5" t="s">
        <v>732</v>
      </c>
      <c r="B75" s="5" t="s">
        <v>574</v>
      </c>
      <c r="C75" s="5" t="s">
        <v>686</v>
      </c>
      <c r="D75" s="5" t="s">
        <v>463</v>
      </c>
      <c r="E75" s="34" t="n">
        <v>-0.2</v>
      </c>
      <c r="F75" s="5" t="s">
        <v>730</v>
      </c>
      <c r="G75" s="5" t="str">
        <f aca="false">IF(E75&gt;0,"Increase",IF(E75&lt;0,"Decrease","No change"))</f>
        <v>Decrease</v>
      </c>
      <c r="H75" s="5" t="str">
        <f aca="false">IF(F75="Yes",G75&amp;" (significant)","Not significant")</f>
        <v>Not significant</v>
      </c>
    </row>
    <row r="76" customFormat="false" ht="15" hidden="false" customHeight="false" outlineLevel="0" collapsed="false">
      <c r="A76" s="5" t="s">
        <v>732</v>
      </c>
      <c r="B76" s="5" t="s">
        <v>574</v>
      </c>
      <c r="C76" s="5" t="s">
        <v>729</v>
      </c>
      <c r="D76" s="5" t="s">
        <v>463</v>
      </c>
      <c r="E76" s="34" t="n">
        <v>-0.3</v>
      </c>
      <c r="F76" s="5" t="s">
        <v>730</v>
      </c>
      <c r="G76" s="5" t="str">
        <f aca="false">IF(E76&gt;0,"Increase",IF(E76&lt;0,"Decrease","No change"))</f>
        <v>Decrease</v>
      </c>
      <c r="H76" s="5" t="str">
        <f aca="false">IF(F76="Yes",G76&amp;" (significant)","Not significant")</f>
        <v>Not significant</v>
      </c>
    </row>
    <row r="77" customFormat="false" ht="15" hidden="false" customHeight="false" outlineLevel="0" collapsed="false">
      <c r="A77" s="5" t="s">
        <v>732</v>
      </c>
      <c r="B77" s="5" t="s">
        <v>574</v>
      </c>
      <c r="C77" s="5" t="s">
        <v>438</v>
      </c>
      <c r="D77" s="5" t="s">
        <v>437</v>
      </c>
      <c r="E77" s="34" t="n">
        <v>-0.4</v>
      </c>
      <c r="F77" s="5" t="s">
        <v>730</v>
      </c>
      <c r="G77" s="5" t="str">
        <f aca="false">IF(E77&gt;0,"Increase",IF(E77&lt;0,"Decrease","No change"))</f>
        <v>Decrease</v>
      </c>
      <c r="H77" s="5" t="str">
        <f aca="false">IF(F77="Yes",G77&amp;" (significant)","Not significant")</f>
        <v>Not significant</v>
      </c>
    </row>
    <row r="78" customFormat="false" ht="15" hidden="false" customHeight="false" outlineLevel="0" collapsed="false">
      <c r="A78" s="5" t="s">
        <v>732</v>
      </c>
      <c r="B78" s="5" t="s">
        <v>574</v>
      </c>
      <c r="C78" s="5" t="s">
        <v>713</v>
      </c>
      <c r="D78" s="5" t="s">
        <v>437</v>
      </c>
      <c r="E78" s="34" t="n">
        <v>-0.6</v>
      </c>
      <c r="F78" s="5" t="s">
        <v>730</v>
      </c>
      <c r="G78" s="5" t="str">
        <f aca="false">IF(E78&gt;0,"Increase",IF(E78&lt;0,"Decrease","No change"))</f>
        <v>Decrease</v>
      </c>
      <c r="H78" s="5" t="str">
        <f aca="false">IF(F78="Yes",G78&amp;" (significant)","Not significant")</f>
        <v>Not significant</v>
      </c>
    </row>
    <row r="79" customFormat="false" ht="15" hidden="false" customHeight="false" outlineLevel="0" collapsed="false">
      <c r="A79" s="5" t="s">
        <v>732</v>
      </c>
      <c r="B79" s="5" t="s">
        <v>574</v>
      </c>
      <c r="C79" s="5" t="s">
        <v>702</v>
      </c>
      <c r="D79" s="5" t="s">
        <v>437</v>
      </c>
      <c r="E79" s="34" t="n">
        <v>-0.6</v>
      </c>
      <c r="F79" s="5" t="s">
        <v>730</v>
      </c>
      <c r="G79" s="5" t="str">
        <f aca="false">IF(E79&gt;0,"Increase",IF(E79&lt;0,"Decrease","No change"))</f>
        <v>Decrease</v>
      </c>
      <c r="H79" s="5" t="str">
        <f aca="false">IF(F79="Yes",G79&amp;" (significant)","Not significant")</f>
        <v>Not significant</v>
      </c>
    </row>
    <row r="80" customFormat="false" ht="15" hidden="false" customHeight="false" outlineLevel="0" collapsed="false">
      <c r="A80" s="5" t="s">
        <v>732</v>
      </c>
      <c r="B80" s="5" t="s">
        <v>574</v>
      </c>
      <c r="C80" s="5" t="s">
        <v>696</v>
      </c>
      <c r="D80" s="5" t="s">
        <v>458</v>
      </c>
      <c r="E80" s="34" t="n">
        <v>-1.4</v>
      </c>
      <c r="F80" s="5" t="s">
        <v>694</v>
      </c>
      <c r="G80" s="5" t="str">
        <f aca="false">IF(E80&gt;0,"Increase",IF(E80&lt;0,"Decrease","No change"))</f>
        <v>Decrease</v>
      </c>
      <c r="H80" s="5" t="str">
        <f aca="false">IF(F80="Yes",G80&amp;" (significant)","Not significant")</f>
        <v>Decrease (significant)</v>
      </c>
    </row>
    <row r="81" customFormat="false" ht="15" hidden="false" customHeight="false" outlineLevel="0" collapsed="false">
      <c r="A81" s="5" t="s">
        <v>732</v>
      </c>
      <c r="B81" s="5" t="s">
        <v>574</v>
      </c>
      <c r="C81" s="5" t="s">
        <v>697</v>
      </c>
      <c r="D81" s="5" t="s">
        <v>458</v>
      </c>
      <c r="E81" s="34" t="n">
        <v>-1.5</v>
      </c>
      <c r="F81" s="5" t="s">
        <v>694</v>
      </c>
      <c r="G81" s="5" t="str">
        <f aca="false">IF(E81&gt;0,"Increase",IF(E81&lt;0,"Decrease","No change"))</f>
        <v>Decrease</v>
      </c>
      <c r="H81" s="5" t="str">
        <f aca="false">IF(F81="Yes",G81&amp;" (significant)","Not significant")</f>
        <v>Decrease (significant)</v>
      </c>
    </row>
    <row r="82" customFormat="false" ht="15" hidden="false" customHeight="false" outlineLevel="0" collapsed="false">
      <c r="A82" s="5" t="s">
        <v>732</v>
      </c>
      <c r="B82" s="5" t="s">
        <v>586</v>
      </c>
      <c r="C82" s="5" t="s">
        <v>701</v>
      </c>
      <c r="D82" s="5" t="s">
        <v>432</v>
      </c>
      <c r="E82" s="34" t="n">
        <v>3.7</v>
      </c>
      <c r="F82" s="5" t="s">
        <v>694</v>
      </c>
      <c r="G82" s="5" t="str">
        <f aca="false">IF(E82&gt;0,"Increase",IF(E82&lt;0,"Decrease","No change"))</f>
        <v>Increase</v>
      </c>
      <c r="H82" s="5" t="str">
        <f aca="false">IF(F82="Yes",G82&amp;" (significant)","Not significant")</f>
        <v>Increase (significant)</v>
      </c>
    </row>
    <row r="83" customFormat="false" ht="15" hidden="false" customHeight="false" outlineLevel="0" collapsed="false">
      <c r="A83" s="5" t="s">
        <v>732</v>
      </c>
      <c r="B83" s="5" t="s">
        <v>586</v>
      </c>
      <c r="C83" s="5" t="s">
        <v>693</v>
      </c>
      <c r="D83" s="5" t="s">
        <v>458</v>
      </c>
      <c r="E83" s="34" t="n">
        <v>1.2</v>
      </c>
      <c r="F83" s="5" t="s">
        <v>730</v>
      </c>
      <c r="G83" s="5" t="str">
        <f aca="false">IF(E83&gt;0,"Increase",IF(E83&lt;0,"Decrease","No change"))</f>
        <v>Increase</v>
      </c>
      <c r="H83" s="5" t="str">
        <f aca="false">IF(F83="Yes",G83&amp;" (significant)","Not significant")</f>
        <v>Not significant</v>
      </c>
    </row>
    <row r="84" customFormat="false" ht="15" hidden="false" customHeight="false" outlineLevel="0" collapsed="false">
      <c r="A84" s="5" t="s">
        <v>732</v>
      </c>
      <c r="B84" s="5" t="s">
        <v>586</v>
      </c>
      <c r="C84" s="5" t="s">
        <v>700</v>
      </c>
      <c r="D84" s="5" t="s">
        <v>432</v>
      </c>
      <c r="E84" s="34" t="n">
        <v>0.9</v>
      </c>
      <c r="F84" s="5" t="s">
        <v>730</v>
      </c>
      <c r="G84" s="5" t="str">
        <f aca="false">IF(E84&gt;0,"Increase",IF(E84&lt;0,"Decrease","No change"))</f>
        <v>Increase</v>
      </c>
      <c r="H84" s="5" t="str">
        <f aca="false">IF(F84="Yes",G84&amp;" (significant)","Not significant")</f>
        <v>Not significant</v>
      </c>
    </row>
    <row r="85" customFormat="false" ht="15" hidden="false" customHeight="false" outlineLevel="0" collapsed="false">
      <c r="A85" s="5" t="s">
        <v>732</v>
      </c>
      <c r="B85" s="5" t="s">
        <v>586</v>
      </c>
      <c r="C85" s="5" t="s">
        <v>446</v>
      </c>
      <c r="D85" s="5" t="s">
        <v>437</v>
      </c>
      <c r="E85" s="34" t="n">
        <v>0.6</v>
      </c>
      <c r="F85" s="5" t="s">
        <v>730</v>
      </c>
      <c r="G85" s="5" t="str">
        <f aca="false">IF(E85&gt;0,"Increase",IF(E85&lt;0,"Decrease","No change"))</f>
        <v>Increase</v>
      </c>
      <c r="H85" s="5" t="str">
        <f aca="false">IF(F85="Yes",G85&amp;" (significant)","Not significant")</f>
        <v>Not significant</v>
      </c>
    </row>
    <row r="86" customFormat="false" ht="15" hidden="false" customHeight="false" outlineLevel="0" collapsed="false">
      <c r="A86" s="5" t="s">
        <v>732</v>
      </c>
      <c r="B86" s="5" t="s">
        <v>586</v>
      </c>
      <c r="C86" s="5" t="s">
        <v>713</v>
      </c>
      <c r="D86" s="5" t="s">
        <v>437</v>
      </c>
      <c r="E86" s="34" t="n">
        <v>0.5</v>
      </c>
      <c r="F86" s="5" t="s">
        <v>730</v>
      </c>
      <c r="G86" s="5" t="str">
        <f aca="false">IF(E86&gt;0,"Increase",IF(E86&lt;0,"Decrease","No change"))</f>
        <v>Increase</v>
      </c>
      <c r="H86" s="5" t="str">
        <f aca="false">IF(F86="Yes",G86&amp;" (significant)","Not significant")</f>
        <v>Not significant</v>
      </c>
    </row>
    <row r="87" customFormat="false" ht="15" hidden="false" customHeight="false" outlineLevel="0" collapsed="false">
      <c r="A87" s="5" t="s">
        <v>732</v>
      </c>
      <c r="B87" s="5" t="s">
        <v>586</v>
      </c>
      <c r="C87" s="5" t="s">
        <v>714</v>
      </c>
      <c r="D87" s="5" t="s">
        <v>437</v>
      </c>
      <c r="E87" s="34" t="n">
        <v>0.4</v>
      </c>
      <c r="F87" s="5" t="s">
        <v>730</v>
      </c>
      <c r="G87" s="5" t="str">
        <f aca="false">IF(E87&gt;0,"Increase",IF(E87&lt;0,"Decrease","No change"))</f>
        <v>Increase</v>
      </c>
      <c r="H87" s="5" t="str">
        <f aca="false">IF(F87="Yes",G87&amp;" (significant)","Not significant")</f>
        <v>Not significant</v>
      </c>
    </row>
    <row r="88" customFormat="false" ht="15" hidden="false" customHeight="false" outlineLevel="0" collapsed="false">
      <c r="A88" s="5" t="s">
        <v>732</v>
      </c>
      <c r="B88" s="5" t="s">
        <v>586</v>
      </c>
      <c r="C88" s="5" t="s">
        <v>430</v>
      </c>
      <c r="D88" s="5" t="s">
        <v>421</v>
      </c>
      <c r="E88" s="34" t="n">
        <v>0.3</v>
      </c>
      <c r="F88" s="5" t="s">
        <v>730</v>
      </c>
      <c r="G88" s="5" t="str">
        <f aca="false">IF(E88&gt;0,"Increase",IF(E88&lt;0,"Decrease","No change"))</f>
        <v>Increase</v>
      </c>
      <c r="H88" s="5" t="str">
        <f aca="false">IF(F88="Yes",G88&amp;" (significant)","Not significant")</f>
        <v>Not significant</v>
      </c>
    </row>
    <row r="89" customFormat="false" ht="15" hidden="false" customHeight="false" outlineLevel="0" collapsed="false">
      <c r="A89" s="5" t="s">
        <v>732</v>
      </c>
      <c r="B89" s="5" t="s">
        <v>586</v>
      </c>
      <c r="C89" s="5" t="s">
        <v>698</v>
      </c>
      <c r="D89" s="5" t="s">
        <v>458</v>
      </c>
      <c r="E89" s="34" t="n">
        <v>-0.4</v>
      </c>
      <c r="F89" s="5" t="s">
        <v>730</v>
      </c>
      <c r="G89" s="5" t="str">
        <f aca="false">IF(E89&gt;0,"Increase",IF(E89&lt;0,"Decrease","No change"))</f>
        <v>Decrease</v>
      </c>
      <c r="H89" s="5" t="str">
        <f aca="false">IF(F89="Yes",G89&amp;" (significant)","Not significant")</f>
        <v>Not significant</v>
      </c>
    </row>
    <row r="90" customFormat="false" ht="15" hidden="false" customHeight="false" outlineLevel="0" collapsed="false">
      <c r="A90" s="5" t="s">
        <v>732</v>
      </c>
      <c r="B90" s="5" t="s">
        <v>586</v>
      </c>
      <c r="C90" s="5" t="s">
        <v>702</v>
      </c>
      <c r="D90" s="5" t="s">
        <v>437</v>
      </c>
      <c r="E90" s="34" t="n">
        <v>-0.5</v>
      </c>
      <c r="F90" s="5" t="s">
        <v>730</v>
      </c>
      <c r="G90" s="5" t="str">
        <f aca="false">IF(E90&gt;0,"Increase",IF(E90&lt;0,"Decrease","No change"))</f>
        <v>Decrease</v>
      </c>
      <c r="H90" s="5" t="str">
        <f aca="false">IF(F90="Yes",G90&amp;" (significant)","Not significant")</f>
        <v>Not significant</v>
      </c>
    </row>
    <row r="91" customFormat="false" ht="15" hidden="false" customHeight="false" outlineLevel="0" collapsed="false">
      <c r="A91" s="5" t="s">
        <v>732</v>
      </c>
      <c r="B91" s="5" t="s">
        <v>586</v>
      </c>
      <c r="C91" s="5" t="s">
        <v>689</v>
      </c>
      <c r="D91" s="5" t="s">
        <v>463</v>
      </c>
      <c r="E91" s="34" t="n">
        <v>-1</v>
      </c>
      <c r="F91" s="5" t="s">
        <v>730</v>
      </c>
      <c r="G91" s="5" t="str">
        <f aca="false">IF(E91&gt;0,"Increase",IF(E91&lt;0,"Decrease","No change"))</f>
        <v>Decrease</v>
      </c>
      <c r="H91" s="5" t="str">
        <f aca="false">IF(F91="Yes",G91&amp;" (significant)","Not significant")</f>
        <v>Not significant</v>
      </c>
    </row>
    <row r="92" customFormat="false" ht="15" hidden="false" customHeight="false" outlineLevel="0" collapsed="false">
      <c r="A92" s="5" t="s">
        <v>732</v>
      </c>
      <c r="B92" s="5" t="s">
        <v>586</v>
      </c>
      <c r="C92" s="5" t="s">
        <v>697</v>
      </c>
      <c r="D92" s="5" t="s">
        <v>458</v>
      </c>
      <c r="E92" s="34" t="n">
        <v>-1.3</v>
      </c>
      <c r="F92" s="5" t="s">
        <v>694</v>
      </c>
      <c r="G92" s="5" t="str">
        <f aca="false">IF(E92&gt;0,"Increase",IF(E92&lt;0,"Decrease","No change"))</f>
        <v>Decrease</v>
      </c>
      <c r="H92" s="5" t="str">
        <f aca="false">IF(F92="Yes",G92&amp;" (significant)","Not significant")</f>
        <v>Decrease (significant)</v>
      </c>
    </row>
    <row r="93" customFormat="false" ht="15" hidden="false" customHeight="false" outlineLevel="0" collapsed="false">
      <c r="A93" s="5" t="s">
        <v>732</v>
      </c>
      <c r="B93" s="5" t="s">
        <v>586</v>
      </c>
      <c r="C93" s="5" t="s">
        <v>688</v>
      </c>
      <c r="D93" s="5" t="s">
        <v>463</v>
      </c>
      <c r="E93" s="34" t="n">
        <v>-1.4</v>
      </c>
      <c r="F93" s="5" t="s">
        <v>694</v>
      </c>
      <c r="G93" s="5" t="str">
        <f aca="false">IF(E93&gt;0,"Increase",IF(E93&lt;0,"Decrease","No change"))</f>
        <v>Decrease</v>
      </c>
      <c r="H93" s="5" t="str">
        <f aca="false">IF(F93="Yes",G93&amp;" (significant)","Not significant")</f>
        <v>Decrease (significant)</v>
      </c>
    </row>
    <row r="94" customFormat="false" ht="15" hidden="false" customHeight="false" outlineLevel="0" collapsed="false">
      <c r="A94" s="5" t="s">
        <v>732</v>
      </c>
      <c r="B94" s="5" t="s">
        <v>586</v>
      </c>
      <c r="C94" s="5" t="s">
        <v>729</v>
      </c>
      <c r="D94" s="5" t="s">
        <v>463</v>
      </c>
      <c r="E94" s="34" t="n">
        <v>-1.5</v>
      </c>
      <c r="F94" s="5" t="s">
        <v>730</v>
      </c>
      <c r="G94" s="5" t="str">
        <f aca="false">IF(E94&gt;0,"Increase",IF(E94&lt;0,"Decrease","No change"))</f>
        <v>Decrease</v>
      </c>
      <c r="H94" s="5" t="str">
        <f aca="false">IF(F94="Yes",G94&amp;" (significant)","Not significant")</f>
        <v>Not significant</v>
      </c>
    </row>
    <row r="95" customFormat="false" ht="15" hidden="false" customHeight="false" outlineLevel="0" collapsed="false">
      <c r="A95" s="5" t="s">
        <v>732</v>
      </c>
      <c r="B95" s="5" t="s">
        <v>586</v>
      </c>
      <c r="C95" s="5" t="s">
        <v>686</v>
      </c>
      <c r="D95" s="5" t="s">
        <v>463</v>
      </c>
      <c r="E95" s="34" t="n">
        <v>-2.6</v>
      </c>
      <c r="F95" s="5" t="s">
        <v>694</v>
      </c>
      <c r="G95" s="5" t="str">
        <f aca="false">IF(E95&gt;0,"Increase",IF(E95&lt;0,"Decrease","No change"))</f>
        <v>Decrease</v>
      </c>
      <c r="H95" s="5" t="str">
        <f aca="false">IF(F95="Yes",G95&amp;" (significant)","Not significant")</f>
        <v>Decrease (significant)</v>
      </c>
    </row>
    <row r="96" customFormat="false" ht="15" hidden="false" customHeight="false" outlineLevel="0" collapsed="false">
      <c r="A96" s="5" t="s">
        <v>732</v>
      </c>
      <c r="B96" s="5" t="s">
        <v>586</v>
      </c>
      <c r="C96" s="5" t="s">
        <v>438</v>
      </c>
      <c r="D96" s="5" t="s">
        <v>437</v>
      </c>
      <c r="E96" s="34" t="n">
        <v>-3.1</v>
      </c>
      <c r="F96" s="5" t="s">
        <v>730</v>
      </c>
      <c r="G96" s="5" t="str">
        <f aca="false">IF(E96&gt;0,"Increase",IF(E96&lt;0,"Decrease","No change"))</f>
        <v>Decrease</v>
      </c>
      <c r="H96" s="5" t="str">
        <f aca="false">IF(F96="Yes",G96&amp;" (significant)","Not significant")</f>
        <v>Not significant</v>
      </c>
    </row>
    <row r="97" customFormat="false" ht="15" hidden="false" customHeight="false" outlineLevel="0" collapsed="false">
      <c r="A97" s="5" t="s">
        <v>598</v>
      </c>
      <c r="B97" s="5" t="s">
        <v>574</v>
      </c>
      <c r="C97" s="5" t="s">
        <v>714</v>
      </c>
      <c r="D97" s="5" t="s">
        <v>437</v>
      </c>
      <c r="E97" s="34" t="n">
        <v>4.2</v>
      </c>
      <c r="F97" s="5" t="s">
        <v>694</v>
      </c>
      <c r="G97" s="5" t="str">
        <f aca="false">IF(E97&gt;0,"Increase",IF(E97&lt;0,"Decrease","No change"))</f>
        <v>Increase</v>
      </c>
      <c r="H97" s="5" t="str">
        <f aca="false">IF(F97="Yes",G97&amp;" (significant)","Not significant")</f>
        <v>Increase (significant)</v>
      </c>
    </row>
    <row r="98" customFormat="false" ht="15" hidden="false" customHeight="false" outlineLevel="0" collapsed="false">
      <c r="A98" s="5" t="s">
        <v>598</v>
      </c>
      <c r="B98" s="5" t="s">
        <v>574</v>
      </c>
      <c r="C98" s="5" t="s">
        <v>686</v>
      </c>
      <c r="D98" s="5" t="s">
        <v>463</v>
      </c>
      <c r="E98" s="34" t="n">
        <v>3.4</v>
      </c>
      <c r="F98" s="5" t="s">
        <v>694</v>
      </c>
      <c r="G98" s="5" t="str">
        <f aca="false">IF(E98&gt;0,"Increase",IF(E98&lt;0,"Decrease","No change"))</f>
        <v>Increase</v>
      </c>
      <c r="H98" s="5" t="str">
        <f aca="false">IF(F98="Yes",G98&amp;" (significant)","Not significant")</f>
        <v>Increase (significant)</v>
      </c>
    </row>
    <row r="99" customFormat="false" ht="15" hidden="false" customHeight="false" outlineLevel="0" collapsed="false">
      <c r="A99" s="5" t="s">
        <v>598</v>
      </c>
      <c r="B99" s="5" t="s">
        <v>574</v>
      </c>
      <c r="C99" s="5" t="s">
        <v>693</v>
      </c>
      <c r="D99" s="5" t="s">
        <v>458</v>
      </c>
      <c r="E99" s="34" t="n">
        <v>2.8</v>
      </c>
      <c r="F99" s="5" t="s">
        <v>730</v>
      </c>
      <c r="G99" s="5" t="str">
        <f aca="false">IF(E99&gt;0,"Increase",IF(E99&lt;0,"Decrease","No change"))</f>
        <v>Increase</v>
      </c>
      <c r="H99" s="5" t="str">
        <f aca="false">IF(F99="Yes",G99&amp;" (significant)","Not significant")</f>
        <v>Not significant</v>
      </c>
    </row>
    <row r="100" customFormat="false" ht="15" hidden="false" customHeight="false" outlineLevel="0" collapsed="false">
      <c r="A100" s="5" t="s">
        <v>598</v>
      </c>
      <c r="B100" s="5" t="s">
        <v>574</v>
      </c>
      <c r="C100" s="5" t="s">
        <v>698</v>
      </c>
      <c r="D100" s="5" t="s">
        <v>458</v>
      </c>
      <c r="E100" s="34" t="n">
        <v>2.2</v>
      </c>
      <c r="F100" s="5" t="s">
        <v>730</v>
      </c>
      <c r="G100" s="5" t="str">
        <f aca="false">IF(E100&gt;0,"Increase",IF(E100&lt;0,"Decrease","No change"))</f>
        <v>Increase</v>
      </c>
      <c r="H100" s="5" t="str">
        <f aca="false">IF(F100="Yes",G100&amp;" (significant)","Not significant")</f>
        <v>Not significant</v>
      </c>
    </row>
    <row r="101" customFormat="false" ht="15" hidden="false" customHeight="false" outlineLevel="0" collapsed="false">
      <c r="A101" s="5" t="s">
        <v>598</v>
      </c>
      <c r="B101" s="5" t="s">
        <v>574</v>
      </c>
      <c r="C101" s="5" t="s">
        <v>689</v>
      </c>
      <c r="D101" s="5" t="s">
        <v>463</v>
      </c>
      <c r="E101" s="34" t="n">
        <v>1.5</v>
      </c>
      <c r="F101" s="5" t="s">
        <v>694</v>
      </c>
      <c r="G101" s="5" t="str">
        <f aca="false">IF(E101&gt;0,"Increase",IF(E101&lt;0,"Decrease","No change"))</f>
        <v>Increase</v>
      </c>
      <c r="H101" s="5" t="str">
        <f aca="false">IF(F101="Yes",G101&amp;" (significant)","Not significant")</f>
        <v>Increase (significant)</v>
      </c>
    </row>
    <row r="102" customFormat="false" ht="15" hidden="false" customHeight="false" outlineLevel="0" collapsed="false">
      <c r="A102" s="5" t="s">
        <v>598</v>
      </c>
      <c r="B102" s="5" t="s">
        <v>574</v>
      </c>
      <c r="C102" s="5" t="s">
        <v>446</v>
      </c>
      <c r="D102" s="5" t="s">
        <v>437</v>
      </c>
      <c r="E102" s="34" t="n">
        <v>1.4</v>
      </c>
      <c r="F102" s="5" t="s">
        <v>730</v>
      </c>
      <c r="G102" s="5" t="str">
        <f aca="false">IF(E102&gt;0,"Increase",IF(E102&lt;0,"Decrease","No change"))</f>
        <v>Increase</v>
      </c>
      <c r="H102" s="5" t="str">
        <f aca="false">IF(F102="Yes",G102&amp;" (significant)","Not significant")</f>
        <v>Not significant</v>
      </c>
    </row>
    <row r="103" customFormat="false" ht="15" hidden="false" customHeight="false" outlineLevel="0" collapsed="false">
      <c r="A103" s="5" t="s">
        <v>598</v>
      </c>
      <c r="B103" s="5" t="s">
        <v>574</v>
      </c>
      <c r="C103" s="5" t="s">
        <v>430</v>
      </c>
      <c r="D103" s="5" t="s">
        <v>421</v>
      </c>
      <c r="E103" s="34" t="n">
        <v>1.3</v>
      </c>
      <c r="F103" s="5" t="s">
        <v>694</v>
      </c>
      <c r="G103" s="5" t="str">
        <f aca="false">IF(E103&gt;0,"Increase",IF(E103&lt;0,"Decrease","No change"))</f>
        <v>Increase</v>
      </c>
      <c r="H103" s="5" t="str">
        <f aca="false">IF(F103="Yes",G103&amp;" (significant)","Not significant")</f>
        <v>Increase (significant)</v>
      </c>
    </row>
    <row r="104" customFormat="false" ht="15" hidden="false" customHeight="false" outlineLevel="0" collapsed="false">
      <c r="A104" s="5" t="s">
        <v>598</v>
      </c>
      <c r="B104" s="5" t="s">
        <v>574</v>
      </c>
      <c r="C104" s="5" t="s">
        <v>688</v>
      </c>
      <c r="D104" s="5" t="s">
        <v>463</v>
      </c>
      <c r="E104" s="34" t="n">
        <v>1.3</v>
      </c>
      <c r="F104" s="5" t="s">
        <v>694</v>
      </c>
      <c r="G104" s="5" t="str">
        <f aca="false">IF(E104&gt;0,"Increase",IF(E104&lt;0,"Decrease","No change"))</f>
        <v>Increase</v>
      </c>
      <c r="H104" s="5" t="str">
        <f aca="false">IF(F104="Yes",G104&amp;" (significant)","Not significant")</f>
        <v>Increase (significant)</v>
      </c>
    </row>
    <row r="105" customFormat="false" ht="15" hidden="false" customHeight="false" outlineLevel="0" collapsed="false">
      <c r="A105" s="5" t="s">
        <v>598</v>
      </c>
      <c r="B105" s="5" t="s">
        <v>574</v>
      </c>
      <c r="C105" s="5" t="s">
        <v>729</v>
      </c>
      <c r="D105" s="5" t="s">
        <v>463</v>
      </c>
      <c r="E105" s="34" t="n">
        <v>1.2</v>
      </c>
      <c r="F105" s="5" t="s">
        <v>730</v>
      </c>
      <c r="G105" s="5" t="str">
        <f aca="false">IF(E105&gt;0,"Increase",IF(E105&lt;0,"Decrease","No change"))</f>
        <v>Increase</v>
      </c>
      <c r="H105" s="5" t="str">
        <f aca="false">IF(F105="Yes",G105&amp;" (significant)","Not significant")</f>
        <v>Not significant</v>
      </c>
    </row>
    <row r="106" customFormat="false" ht="15" hidden="false" customHeight="false" outlineLevel="0" collapsed="false">
      <c r="A106" s="5" t="s">
        <v>598</v>
      </c>
      <c r="B106" s="5" t="s">
        <v>574</v>
      </c>
      <c r="C106" s="5" t="s">
        <v>701</v>
      </c>
      <c r="D106" s="5" t="s">
        <v>432</v>
      </c>
      <c r="E106" s="34" t="n">
        <v>0.2</v>
      </c>
      <c r="F106" s="5" t="s">
        <v>730</v>
      </c>
      <c r="G106" s="5" t="str">
        <f aca="false">IF(E106&gt;0,"Increase",IF(E106&lt;0,"Decrease","No change"))</f>
        <v>Increase</v>
      </c>
      <c r="H106" s="5" t="str">
        <f aca="false">IF(F106="Yes",G106&amp;" (significant)","Not significant")</f>
        <v>Not significant</v>
      </c>
    </row>
    <row r="107" customFormat="false" ht="15" hidden="false" customHeight="false" outlineLevel="0" collapsed="false">
      <c r="A107" s="5" t="s">
        <v>598</v>
      </c>
      <c r="B107" s="5" t="s">
        <v>574</v>
      </c>
      <c r="C107" s="5" t="s">
        <v>700</v>
      </c>
      <c r="D107" s="5" t="s">
        <v>432</v>
      </c>
      <c r="E107" s="34" t="n">
        <v>-0.4</v>
      </c>
      <c r="F107" s="5" t="s">
        <v>730</v>
      </c>
      <c r="G107" s="5" t="str">
        <f aca="false">IF(E107&gt;0,"Increase",IF(E107&lt;0,"Decrease","No change"))</f>
        <v>Decrease</v>
      </c>
      <c r="H107" s="5" t="str">
        <f aca="false">IF(F107="Yes",G107&amp;" (significant)","Not significant")</f>
        <v>Not significant</v>
      </c>
    </row>
    <row r="108" customFormat="false" ht="15" hidden="false" customHeight="false" outlineLevel="0" collapsed="false">
      <c r="A108" s="5" t="s">
        <v>598</v>
      </c>
      <c r="B108" s="5" t="s">
        <v>574</v>
      </c>
      <c r="C108" s="5" t="s">
        <v>697</v>
      </c>
      <c r="D108" s="5" t="s">
        <v>458</v>
      </c>
      <c r="E108" s="34" t="n">
        <v>-1</v>
      </c>
      <c r="F108" s="5" t="s">
        <v>694</v>
      </c>
      <c r="G108" s="5" t="str">
        <f aca="false">IF(E108&gt;0,"Increase",IF(E108&lt;0,"Decrease","No change"))</f>
        <v>Decrease</v>
      </c>
      <c r="H108" s="5" t="str">
        <f aca="false">IF(F108="Yes",G108&amp;" (significant)","Not significant")</f>
        <v>Decrease (significant)</v>
      </c>
    </row>
    <row r="109" customFormat="false" ht="15" hidden="false" customHeight="false" outlineLevel="0" collapsed="false">
      <c r="A109" s="5" t="s">
        <v>598</v>
      </c>
      <c r="B109" s="5" t="s">
        <v>574</v>
      </c>
      <c r="C109" s="5" t="s">
        <v>438</v>
      </c>
      <c r="D109" s="5" t="s">
        <v>437</v>
      </c>
      <c r="E109" s="34" t="n">
        <v>-1.5</v>
      </c>
      <c r="F109" s="5" t="s">
        <v>730</v>
      </c>
      <c r="G109" s="5" t="str">
        <f aca="false">IF(E109&gt;0,"Increase",IF(E109&lt;0,"Decrease","No change"))</f>
        <v>Decrease</v>
      </c>
      <c r="H109" s="5" t="str">
        <f aca="false">IF(F109="Yes",G109&amp;" (significant)","Not significant")</f>
        <v>Not significant</v>
      </c>
    </row>
    <row r="110" customFormat="false" ht="15" hidden="false" customHeight="false" outlineLevel="0" collapsed="false">
      <c r="A110" s="5" t="s">
        <v>598</v>
      </c>
      <c r="B110" s="5" t="s">
        <v>574</v>
      </c>
      <c r="C110" s="5" t="s">
        <v>713</v>
      </c>
      <c r="D110" s="5" t="s">
        <v>437</v>
      </c>
      <c r="E110" s="34" t="n">
        <v>-1.6</v>
      </c>
      <c r="F110" s="5" t="s">
        <v>730</v>
      </c>
      <c r="G110" s="5" t="str">
        <f aca="false">IF(E110&gt;0,"Increase",IF(E110&lt;0,"Decrease","No change"))</f>
        <v>Decrease</v>
      </c>
      <c r="H110" s="5" t="str">
        <f aca="false">IF(F110="Yes",G110&amp;" (significant)","Not significant")</f>
        <v>Not significant</v>
      </c>
    </row>
    <row r="111" customFormat="false" ht="15" hidden="false" customHeight="false" outlineLevel="0" collapsed="false">
      <c r="A111" s="5" t="s">
        <v>598</v>
      </c>
      <c r="B111" s="5" t="s">
        <v>574</v>
      </c>
      <c r="C111" s="5" t="s">
        <v>702</v>
      </c>
      <c r="D111" s="5" t="s">
        <v>437</v>
      </c>
      <c r="E111" s="34" t="n">
        <v>-1.7</v>
      </c>
      <c r="F111" s="5" t="s">
        <v>730</v>
      </c>
      <c r="G111" s="5" t="str">
        <f aca="false">IF(E111&gt;0,"Increase",IF(E111&lt;0,"Decrease","No change"))</f>
        <v>Decrease</v>
      </c>
      <c r="H111" s="5" t="str">
        <f aca="false">IF(F111="Yes",G111&amp;" (significant)","Not significant")</f>
        <v>Not significant</v>
      </c>
    </row>
    <row r="112" customFormat="false" ht="15" hidden="false" customHeight="false" outlineLevel="0" collapsed="false">
      <c r="A112" s="5" t="s">
        <v>598</v>
      </c>
      <c r="B112" s="5" t="s">
        <v>586</v>
      </c>
      <c r="C112" s="5" t="s">
        <v>729</v>
      </c>
      <c r="D112" s="5" t="s">
        <v>463</v>
      </c>
      <c r="E112" s="34" t="n">
        <v>7.1</v>
      </c>
      <c r="F112" s="5" t="s">
        <v>694</v>
      </c>
      <c r="G112" s="5" t="str">
        <f aca="false">IF(E112&gt;0,"Increase",IF(E112&lt;0,"Decrease","No change"))</f>
        <v>Increase</v>
      </c>
      <c r="H112" s="5" t="str">
        <f aca="false">IF(F112="Yes",G112&amp;" (significant)","Not significant")</f>
        <v>Increase (significant)</v>
      </c>
    </row>
    <row r="113" customFormat="false" ht="15" hidden="false" customHeight="false" outlineLevel="0" collapsed="false">
      <c r="A113" s="5" t="s">
        <v>598</v>
      </c>
      <c r="B113" s="5" t="s">
        <v>586</v>
      </c>
      <c r="C113" s="5" t="s">
        <v>701</v>
      </c>
      <c r="D113" s="5" t="s">
        <v>432</v>
      </c>
      <c r="E113" s="34" t="n">
        <v>6.8</v>
      </c>
      <c r="F113" s="5" t="s">
        <v>694</v>
      </c>
      <c r="G113" s="5" t="str">
        <f aca="false">IF(E113&gt;0,"Increase",IF(E113&lt;0,"Decrease","No change"))</f>
        <v>Increase</v>
      </c>
      <c r="H113" s="5" t="str">
        <f aca="false">IF(F113="Yes",G113&amp;" (significant)","Not significant")</f>
        <v>Increase (significant)</v>
      </c>
    </row>
    <row r="114" customFormat="false" ht="15" hidden="false" customHeight="false" outlineLevel="0" collapsed="false">
      <c r="A114" s="5" t="s">
        <v>598</v>
      </c>
      <c r="B114" s="5" t="s">
        <v>586</v>
      </c>
      <c r="C114" s="5" t="s">
        <v>714</v>
      </c>
      <c r="D114" s="5" t="s">
        <v>437</v>
      </c>
      <c r="E114" s="34" t="n">
        <v>5.8</v>
      </c>
      <c r="F114" s="5" t="s">
        <v>694</v>
      </c>
      <c r="G114" s="5" t="str">
        <f aca="false">IF(E114&gt;0,"Increase",IF(E114&lt;0,"Decrease","No change"))</f>
        <v>Increase</v>
      </c>
      <c r="H114" s="5" t="str">
        <f aca="false">IF(F114="Yes",G114&amp;" (significant)","Not significant")</f>
        <v>Increase (significant)</v>
      </c>
    </row>
    <row r="115" customFormat="false" ht="15" hidden="false" customHeight="false" outlineLevel="0" collapsed="false">
      <c r="A115" s="5" t="s">
        <v>598</v>
      </c>
      <c r="B115" s="5" t="s">
        <v>586</v>
      </c>
      <c r="C115" s="5" t="s">
        <v>688</v>
      </c>
      <c r="D115" s="5" t="s">
        <v>463</v>
      </c>
      <c r="E115" s="34" t="n">
        <v>4.5</v>
      </c>
      <c r="F115" s="5" t="s">
        <v>694</v>
      </c>
      <c r="G115" s="5" t="str">
        <f aca="false">IF(E115&gt;0,"Increase",IF(E115&lt;0,"Decrease","No change"))</f>
        <v>Increase</v>
      </c>
      <c r="H115" s="5" t="str">
        <f aca="false">IF(F115="Yes",G115&amp;" (significant)","Not significant")</f>
        <v>Increase (significant)</v>
      </c>
    </row>
    <row r="116" customFormat="false" ht="15" hidden="false" customHeight="false" outlineLevel="0" collapsed="false">
      <c r="A116" s="5" t="s">
        <v>598</v>
      </c>
      <c r="B116" s="5" t="s">
        <v>586</v>
      </c>
      <c r="C116" s="5" t="s">
        <v>693</v>
      </c>
      <c r="D116" s="5" t="s">
        <v>458</v>
      </c>
      <c r="E116" s="34" t="n">
        <v>4.5</v>
      </c>
      <c r="F116" s="5" t="s">
        <v>694</v>
      </c>
      <c r="G116" s="5" t="str">
        <f aca="false">IF(E116&gt;0,"Increase",IF(E116&lt;0,"Decrease","No change"))</f>
        <v>Increase</v>
      </c>
      <c r="H116" s="5" t="str">
        <f aca="false">IF(F116="Yes",G116&amp;" (significant)","Not significant")</f>
        <v>Increase (significant)</v>
      </c>
    </row>
    <row r="117" customFormat="false" ht="15" hidden="false" customHeight="false" outlineLevel="0" collapsed="false">
      <c r="A117" s="5" t="s">
        <v>598</v>
      </c>
      <c r="B117" s="5" t="s">
        <v>586</v>
      </c>
      <c r="C117" s="5" t="s">
        <v>689</v>
      </c>
      <c r="D117" s="5" t="s">
        <v>463</v>
      </c>
      <c r="E117" s="34" t="n">
        <v>4.4</v>
      </c>
      <c r="F117" s="5" t="s">
        <v>694</v>
      </c>
      <c r="G117" s="5" t="str">
        <f aca="false">IF(E117&gt;0,"Increase",IF(E117&lt;0,"Decrease","No change"))</f>
        <v>Increase</v>
      </c>
      <c r="H117" s="5" t="str">
        <f aca="false">IF(F117="Yes",G117&amp;" (significant)","Not significant")</f>
        <v>Increase (significant)</v>
      </c>
    </row>
    <row r="118" customFormat="false" ht="15" hidden="false" customHeight="false" outlineLevel="0" collapsed="false">
      <c r="A118" s="5" t="s">
        <v>598</v>
      </c>
      <c r="B118" s="5" t="s">
        <v>586</v>
      </c>
      <c r="C118" s="5" t="s">
        <v>698</v>
      </c>
      <c r="D118" s="5" t="s">
        <v>458</v>
      </c>
      <c r="E118" s="34" t="n">
        <v>4.2</v>
      </c>
      <c r="F118" s="5" t="s">
        <v>694</v>
      </c>
      <c r="G118" s="5" t="str">
        <f aca="false">IF(E118&gt;0,"Increase",IF(E118&lt;0,"Decrease","No change"))</f>
        <v>Increase</v>
      </c>
      <c r="H118" s="5" t="str">
        <f aca="false">IF(F118="Yes",G118&amp;" (significant)","Not significant")</f>
        <v>Increase (significant)</v>
      </c>
    </row>
    <row r="119" customFormat="false" ht="15" hidden="false" customHeight="false" outlineLevel="0" collapsed="false">
      <c r="A119" s="5" t="s">
        <v>598</v>
      </c>
      <c r="B119" s="5" t="s">
        <v>586</v>
      </c>
      <c r="C119" s="5" t="s">
        <v>713</v>
      </c>
      <c r="D119" s="5" t="s">
        <v>437</v>
      </c>
      <c r="E119" s="34" t="n">
        <v>3.9</v>
      </c>
      <c r="F119" s="5" t="s">
        <v>694</v>
      </c>
      <c r="G119" s="5" t="str">
        <f aca="false">IF(E119&gt;0,"Increase",IF(E119&lt;0,"Decrease","No change"))</f>
        <v>Increase</v>
      </c>
      <c r="H119" s="5" t="str">
        <f aca="false">IF(F119="Yes",G119&amp;" (significant)","Not significant")</f>
        <v>Increase (significant)</v>
      </c>
    </row>
    <row r="120" customFormat="false" ht="15" hidden="false" customHeight="false" outlineLevel="0" collapsed="false">
      <c r="A120" s="5" t="s">
        <v>598</v>
      </c>
      <c r="B120" s="5" t="s">
        <v>586</v>
      </c>
      <c r="C120" s="5" t="s">
        <v>430</v>
      </c>
      <c r="D120" s="5" t="s">
        <v>421</v>
      </c>
      <c r="E120" s="34" t="n">
        <v>3</v>
      </c>
      <c r="F120" s="5" t="s">
        <v>694</v>
      </c>
      <c r="G120" s="5" t="str">
        <f aca="false">IF(E120&gt;0,"Increase",IF(E120&lt;0,"Decrease","No change"))</f>
        <v>Increase</v>
      </c>
      <c r="H120" s="5" t="str">
        <f aca="false">IF(F120="Yes",G120&amp;" (significant)","Not significant")</f>
        <v>Increase (significant)</v>
      </c>
    </row>
    <row r="121" customFormat="false" ht="15" hidden="false" customHeight="false" outlineLevel="0" collapsed="false">
      <c r="A121" s="5" t="s">
        <v>598</v>
      </c>
      <c r="B121" s="5" t="s">
        <v>586</v>
      </c>
      <c r="C121" s="5" t="s">
        <v>686</v>
      </c>
      <c r="D121" s="5" t="s">
        <v>463</v>
      </c>
      <c r="E121" s="34" t="n">
        <v>2.4</v>
      </c>
      <c r="F121" s="5" t="s">
        <v>730</v>
      </c>
      <c r="G121" s="5" t="str">
        <f aca="false">IF(E121&gt;0,"Increase",IF(E121&lt;0,"Decrease","No change"))</f>
        <v>Increase</v>
      </c>
      <c r="H121" s="5" t="str">
        <f aca="false">IF(F121="Yes",G121&amp;" (significant)","Not significant")</f>
        <v>Not significant</v>
      </c>
    </row>
    <row r="122" customFormat="false" ht="15" hidden="false" customHeight="false" outlineLevel="0" collapsed="false">
      <c r="A122" s="5" t="s">
        <v>598</v>
      </c>
      <c r="B122" s="5" t="s">
        <v>586</v>
      </c>
      <c r="C122" s="5" t="s">
        <v>700</v>
      </c>
      <c r="D122" s="5" t="s">
        <v>432</v>
      </c>
      <c r="E122" s="34" t="n">
        <v>2.1</v>
      </c>
      <c r="F122" s="5" t="s">
        <v>694</v>
      </c>
      <c r="G122" s="5" t="str">
        <f aca="false">IF(E122&gt;0,"Increase",IF(E122&lt;0,"Decrease","No change"))</f>
        <v>Increase</v>
      </c>
      <c r="H122" s="5" t="str">
        <f aca="false">IF(F122="Yes",G122&amp;" (significant)","Not significant")</f>
        <v>Increase (significant)</v>
      </c>
    </row>
    <row r="123" customFormat="false" ht="15" hidden="false" customHeight="false" outlineLevel="0" collapsed="false">
      <c r="A123" s="5" t="s">
        <v>598</v>
      </c>
      <c r="B123" s="5" t="s">
        <v>586</v>
      </c>
      <c r="C123" s="5" t="s">
        <v>697</v>
      </c>
      <c r="D123" s="5" t="s">
        <v>458</v>
      </c>
      <c r="E123" s="34" t="n">
        <v>1.8</v>
      </c>
      <c r="F123" s="5" t="s">
        <v>694</v>
      </c>
      <c r="G123" s="5" t="str">
        <f aca="false">IF(E123&gt;0,"Increase",IF(E123&lt;0,"Decrease","No change"))</f>
        <v>Increase</v>
      </c>
      <c r="H123" s="5" t="str">
        <f aca="false">IF(F123="Yes",G123&amp;" (significant)","Not significant")</f>
        <v>Increase (significant)</v>
      </c>
    </row>
    <row r="124" customFormat="false" ht="15" hidden="false" customHeight="false" outlineLevel="0" collapsed="false">
      <c r="A124" s="5" t="s">
        <v>598</v>
      </c>
      <c r="B124" s="5" t="s">
        <v>586</v>
      </c>
      <c r="C124" s="5" t="s">
        <v>446</v>
      </c>
      <c r="D124" s="5" t="s">
        <v>437</v>
      </c>
      <c r="E124" s="34" t="n">
        <v>0.5</v>
      </c>
      <c r="F124" s="5" t="s">
        <v>730</v>
      </c>
      <c r="G124" s="5" t="str">
        <f aca="false">IF(E124&gt;0,"Increase",IF(E124&lt;0,"Decrease","No change"))</f>
        <v>Increase</v>
      </c>
      <c r="H124" s="5" t="str">
        <f aca="false">IF(F124="Yes",G124&amp;" (significant)","Not significant")</f>
        <v>Not significant</v>
      </c>
    </row>
    <row r="125" customFormat="false" ht="15" hidden="false" customHeight="false" outlineLevel="0" collapsed="false">
      <c r="A125" s="5" t="s">
        <v>598</v>
      </c>
      <c r="B125" s="5" t="s">
        <v>586</v>
      </c>
      <c r="C125" s="5" t="s">
        <v>702</v>
      </c>
      <c r="D125" s="5" t="s">
        <v>437</v>
      </c>
      <c r="E125" s="34" t="n">
        <v>-1.2</v>
      </c>
      <c r="F125" s="5" t="s">
        <v>730</v>
      </c>
      <c r="G125" s="5" t="str">
        <f aca="false">IF(E125&gt;0,"Increase",IF(E125&lt;0,"Decrease","No change"))</f>
        <v>Decrease</v>
      </c>
      <c r="H125" s="5" t="str">
        <f aca="false">IF(F125="Yes",G125&amp;" (significant)","Not significant")</f>
        <v>Not significant</v>
      </c>
    </row>
    <row r="126" customFormat="false" ht="15" hidden="false" customHeight="false" outlineLevel="0" collapsed="false">
      <c r="A126" s="5" t="s">
        <v>598</v>
      </c>
      <c r="B126" s="5" t="s">
        <v>586</v>
      </c>
      <c r="C126" s="5" t="s">
        <v>438</v>
      </c>
      <c r="D126" s="5" t="s">
        <v>437</v>
      </c>
      <c r="E126" s="34" t="n">
        <v>-3</v>
      </c>
      <c r="F126" s="5" t="s">
        <v>730</v>
      </c>
      <c r="G126" s="5" t="str">
        <f aca="false">IF(E126&gt;0,"Increase",IF(E126&lt;0,"Decrease","No change"))</f>
        <v>Decrease</v>
      </c>
      <c r="H126" s="5" t="str">
        <f aca="false">IF(F126="Yes",G126&amp;" (significant)","Not significant")</f>
        <v>Not significant</v>
      </c>
    </row>
    <row r="127" customFormat="false" ht="15" hidden="false" customHeight="false" outlineLevel="0" collapsed="false">
      <c r="A127" s="5" t="s">
        <v>511</v>
      </c>
      <c r="B127" s="5" t="s">
        <v>574</v>
      </c>
      <c r="C127" s="5" t="s">
        <v>714</v>
      </c>
      <c r="D127" s="5" t="s">
        <v>437</v>
      </c>
      <c r="E127" s="34" t="n">
        <v>6.5</v>
      </c>
      <c r="F127" s="5" t="s">
        <v>694</v>
      </c>
      <c r="G127" s="5" t="str">
        <f aca="false">IF(E127&gt;0,"Increase",IF(E127&lt;0,"Decrease","No change"))</f>
        <v>Increase</v>
      </c>
      <c r="H127" s="5" t="str">
        <f aca="false">IF(F127="Yes",G127&amp;" (significant)","Not significant")</f>
        <v>Increase (significant)</v>
      </c>
    </row>
    <row r="128" customFormat="false" ht="15" hidden="false" customHeight="false" outlineLevel="0" collapsed="false">
      <c r="A128" s="5" t="s">
        <v>511</v>
      </c>
      <c r="B128" s="5" t="s">
        <v>574</v>
      </c>
      <c r="C128" s="5" t="s">
        <v>438</v>
      </c>
      <c r="D128" s="5" t="s">
        <v>437</v>
      </c>
      <c r="E128" s="34" t="n">
        <v>2.4</v>
      </c>
      <c r="F128" s="5" t="s">
        <v>694</v>
      </c>
      <c r="G128" s="5" t="str">
        <f aca="false">IF(E128&gt;0,"Increase",IF(E128&lt;0,"Decrease","No change"))</f>
        <v>Increase</v>
      </c>
      <c r="H128" s="5" t="str">
        <f aca="false">IF(F128="Yes",G128&amp;" (significant)","Not significant")</f>
        <v>Increase (significant)</v>
      </c>
    </row>
    <row r="129" customFormat="false" ht="15" hidden="false" customHeight="false" outlineLevel="0" collapsed="false">
      <c r="A129" s="5" t="s">
        <v>511</v>
      </c>
      <c r="B129" s="5" t="s">
        <v>574</v>
      </c>
      <c r="C129" s="5" t="s">
        <v>729</v>
      </c>
      <c r="D129" s="5" t="s">
        <v>463</v>
      </c>
      <c r="E129" s="34" t="n">
        <v>0.6</v>
      </c>
      <c r="F129" s="5" t="s">
        <v>730</v>
      </c>
      <c r="G129" s="5" t="str">
        <f aca="false">IF(E129&gt;0,"Increase",IF(E129&lt;0,"Decrease","No change"))</f>
        <v>Increase</v>
      </c>
      <c r="H129" s="5" t="str">
        <f aca="false">IF(F129="Yes",G129&amp;" (significant)","Not significant")</f>
        <v>Not significant</v>
      </c>
    </row>
    <row r="130" customFormat="false" ht="15" hidden="false" customHeight="false" outlineLevel="0" collapsed="false">
      <c r="A130" s="5" t="s">
        <v>511</v>
      </c>
      <c r="B130" s="5" t="s">
        <v>574</v>
      </c>
      <c r="C130" s="5" t="s">
        <v>701</v>
      </c>
      <c r="D130" s="5" t="s">
        <v>432</v>
      </c>
      <c r="E130" s="34" t="n">
        <v>0.2</v>
      </c>
      <c r="F130" s="5" t="s">
        <v>730</v>
      </c>
      <c r="G130" s="5" t="str">
        <f aca="false">IF(E130&gt;0,"Increase",IF(E130&lt;0,"Decrease","No change"))</f>
        <v>Increase</v>
      </c>
      <c r="H130" s="5" t="str">
        <f aca="false">IF(F130="Yes",G130&amp;" (significant)","Not significant")</f>
        <v>Not significant</v>
      </c>
    </row>
    <row r="131" customFormat="false" ht="15" hidden="false" customHeight="false" outlineLevel="0" collapsed="false">
      <c r="A131" s="5" t="s">
        <v>511</v>
      </c>
      <c r="B131" s="5" t="s">
        <v>574</v>
      </c>
      <c r="C131" s="5" t="s">
        <v>430</v>
      </c>
      <c r="D131" s="5" t="s">
        <v>421</v>
      </c>
      <c r="E131" s="34" t="n">
        <v>0.1</v>
      </c>
      <c r="F131" s="5" t="s">
        <v>730</v>
      </c>
      <c r="G131" s="5" t="str">
        <f aca="false">IF(E131&gt;0,"Increase",IF(E131&lt;0,"Decrease","No change"))</f>
        <v>Increase</v>
      </c>
      <c r="H131" s="5" t="str">
        <f aca="false">IF(F131="Yes",G131&amp;" (significant)","Not significant")</f>
        <v>Not significant</v>
      </c>
    </row>
    <row r="132" customFormat="false" ht="15" hidden="false" customHeight="false" outlineLevel="0" collapsed="false">
      <c r="A132" s="5" t="s">
        <v>511</v>
      </c>
      <c r="B132" s="5" t="s">
        <v>574</v>
      </c>
      <c r="C132" s="5" t="s">
        <v>688</v>
      </c>
      <c r="D132" s="5" t="s">
        <v>463</v>
      </c>
      <c r="E132" s="34" t="n">
        <v>-0.5</v>
      </c>
      <c r="F132" s="5" t="s">
        <v>694</v>
      </c>
      <c r="G132" s="5" t="str">
        <f aca="false">IF(E132&gt;0,"Increase",IF(E132&lt;0,"Decrease","No change"))</f>
        <v>Decrease</v>
      </c>
      <c r="H132" s="5" t="str">
        <f aca="false">IF(F132="Yes",G132&amp;" (significant)","Not significant")</f>
        <v>Decrease (significant)</v>
      </c>
    </row>
    <row r="133" customFormat="false" ht="15" hidden="false" customHeight="false" outlineLevel="0" collapsed="false">
      <c r="A133" s="5" t="s">
        <v>511</v>
      </c>
      <c r="B133" s="5" t="s">
        <v>574</v>
      </c>
      <c r="C133" s="5" t="s">
        <v>698</v>
      </c>
      <c r="D133" s="5" t="s">
        <v>458</v>
      </c>
      <c r="E133" s="34" t="n">
        <v>-0.7</v>
      </c>
      <c r="F133" s="5" t="s">
        <v>730</v>
      </c>
      <c r="G133" s="5" t="str">
        <f aca="false">IF(E133&gt;0,"Increase",IF(E133&lt;0,"Decrease","No change"))</f>
        <v>Decrease</v>
      </c>
      <c r="H133" s="5" t="str">
        <f aca="false">IF(F133="Yes",G133&amp;" (significant)","Not significant")</f>
        <v>Not significant</v>
      </c>
    </row>
    <row r="134" customFormat="false" ht="15" hidden="false" customHeight="false" outlineLevel="0" collapsed="false">
      <c r="A134" s="5" t="s">
        <v>511</v>
      </c>
      <c r="B134" s="5" t="s">
        <v>574</v>
      </c>
      <c r="C134" s="5" t="s">
        <v>689</v>
      </c>
      <c r="D134" s="5" t="s">
        <v>463</v>
      </c>
      <c r="E134" s="34" t="n">
        <v>-0.9</v>
      </c>
      <c r="F134" s="5" t="s">
        <v>694</v>
      </c>
      <c r="G134" s="5" t="str">
        <f aca="false">IF(E134&gt;0,"Increase",IF(E134&lt;0,"Decrease","No change"))</f>
        <v>Decrease</v>
      </c>
      <c r="H134" s="5" t="str">
        <f aca="false">IF(F134="Yes",G134&amp;" (significant)","Not significant")</f>
        <v>Decrease (significant)</v>
      </c>
    </row>
    <row r="135" customFormat="false" ht="15" hidden="false" customHeight="false" outlineLevel="0" collapsed="false">
      <c r="A135" s="5" t="s">
        <v>511</v>
      </c>
      <c r="B135" s="5" t="s">
        <v>574</v>
      </c>
      <c r="C135" s="5" t="s">
        <v>713</v>
      </c>
      <c r="D135" s="5" t="s">
        <v>437</v>
      </c>
      <c r="E135" s="34" t="n">
        <v>-1.3</v>
      </c>
      <c r="F135" s="5" t="s">
        <v>730</v>
      </c>
      <c r="G135" s="5" t="str">
        <f aca="false">IF(E135&gt;0,"Increase",IF(E135&lt;0,"Decrease","No change"))</f>
        <v>Decrease</v>
      </c>
      <c r="H135" s="5" t="str">
        <f aca="false">IF(F135="Yes",G135&amp;" (significant)","Not significant")</f>
        <v>Not significant</v>
      </c>
    </row>
    <row r="136" customFormat="false" ht="15" hidden="false" customHeight="false" outlineLevel="0" collapsed="false">
      <c r="A136" s="5" t="s">
        <v>511</v>
      </c>
      <c r="B136" s="5" t="s">
        <v>574</v>
      </c>
      <c r="C136" s="5" t="s">
        <v>697</v>
      </c>
      <c r="D136" s="5" t="s">
        <v>458</v>
      </c>
      <c r="E136" s="34" t="n">
        <v>-1.7</v>
      </c>
      <c r="F136" s="5" t="s">
        <v>694</v>
      </c>
      <c r="G136" s="5" t="str">
        <f aca="false">IF(E136&gt;0,"Increase",IF(E136&lt;0,"Decrease","No change"))</f>
        <v>Decrease</v>
      </c>
      <c r="H136" s="5" t="str">
        <f aca="false">IF(F136="Yes",G136&amp;" (significant)","Not significant")</f>
        <v>Decrease (significant)</v>
      </c>
    </row>
    <row r="137" customFormat="false" ht="15" hidden="false" customHeight="false" outlineLevel="0" collapsed="false">
      <c r="A137" s="5" t="s">
        <v>511</v>
      </c>
      <c r="B137" s="5" t="s">
        <v>574</v>
      </c>
      <c r="C137" s="5" t="s">
        <v>686</v>
      </c>
      <c r="D137" s="5" t="s">
        <v>463</v>
      </c>
      <c r="E137" s="34" t="n">
        <v>-1.9</v>
      </c>
      <c r="F137" s="5" t="s">
        <v>730</v>
      </c>
      <c r="G137" s="5" t="str">
        <f aca="false">IF(E137&gt;0,"Increase",IF(E137&lt;0,"Decrease","No change"))</f>
        <v>Decrease</v>
      </c>
      <c r="H137" s="5" t="str">
        <f aca="false">IF(F137="Yes",G137&amp;" (significant)","Not significant")</f>
        <v>Not significant</v>
      </c>
    </row>
    <row r="138" customFormat="false" ht="15" hidden="false" customHeight="false" outlineLevel="0" collapsed="false">
      <c r="A138" s="5" t="s">
        <v>511</v>
      </c>
      <c r="B138" s="5" t="s">
        <v>574</v>
      </c>
      <c r="C138" s="5" t="s">
        <v>446</v>
      </c>
      <c r="D138" s="5" t="s">
        <v>437</v>
      </c>
      <c r="E138" s="34" t="n">
        <v>-3.1</v>
      </c>
      <c r="F138" s="5" t="s">
        <v>694</v>
      </c>
      <c r="G138" s="5" t="str">
        <f aca="false">IF(E138&gt;0,"Increase",IF(E138&lt;0,"Decrease","No change"))</f>
        <v>Decrease</v>
      </c>
      <c r="H138" s="5" t="str">
        <f aca="false">IF(F138="Yes",G138&amp;" (significant)","Not significant")</f>
        <v>Decrease (significant)</v>
      </c>
    </row>
    <row r="139" customFormat="false" ht="15" hidden="false" customHeight="false" outlineLevel="0" collapsed="false">
      <c r="A139" s="5" t="s">
        <v>511</v>
      </c>
      <c r="B139" s="5" t="s">
        <v>574</v>
      </c>
      <c r="C139" s="5" t="s">
        <v>700</v>
      </c>
      <c r="D139" s="5" t="s">
        <v>432</v>
      </c>
      <c r="E139" s="34" t="n">
        <v>-4.3</v>
      </c>
      <c r="F139" s="5" t="s">
        <v>694</v>
      </c>
      <c r="G139" s="5" t="str">
        <f aca="false">IF(E139&gt;0,"Increase",IF(E139&lt;0,"Decrease","No change"))</f>
        <v>Decrease</v>
      </c>
      <c r="H139" s="5" t="str">
        <f aca="false">IF(F139="Yes",G139&amp;" (significant)","Not significant")</f>
        <v>Decrease (significant)</v>
      </c>
    </row>
    <row r="140" customFormat="false" ht="15" hidden="false" customHeight="false" outlineLevel="0" collapsed="false">
      <c r="A140" s="5" t="s">
        <v>511</v>
      </c>
      <c r="B140" s="5" t="s">
        <v>574</v>
      </c>
      <c r="C140" s="5" t="s">
        <v>693</v>
      </c>
      <c r="D140" s="5" t="s">
        <v>458</v>
      </c>
      <c r="E140" s="34" t="n">
        <v>-8.4</v>
      </c>
      <c r="F140" s="5" t="s">
        <v>694</v>
      </c>
      <c r="G140" s="5" t="str">
        <f aca="false">IF(E140&gt;0,"Increase",IF(E140&lt;0,"Decrease","No change"))</f>
        <v>Decrease</v>
      </c>
      <c r="H140" s="5" t="str">
        <f aca="false">IF(F140="Yes",G140&amp;" (significant)","Not significant")</f>
        <v>Decrease (significant)</v>
      </c>
    </row>
    <row r="141" customFormat="false" ht="15" hidden="false" customHeight="false" outlineLevel="0" collapsed="false">
      <c r="A141" s="5" t="s">
        <v>511</v>
      </c>
      <c r="B141" s="5" t="s">
        <v>574</v>
      </c>
      <c r="C141" s="5" t="s">
        <v>702</v>
      </c>
      <c r="D141" s="5" t="s">
        <v>437</v>
      </c>
      <c r="E141" s="34" t="n">
        <v>-11.8</v>
      </c>
      <c r="F141" s="5" t="s">
        <v>694</v>
      </c>
      <c r="G141" s="5" t="str">
        <f aca="false">IF(E141&gt;0,"Increase",IF(E141&lt;0,"Decrease","No change"))</f>
        <v>Decrease</v>
      </c>
      <c r="H141" s="5" t="str">
        <f aca="false">IF(F141="Yes",G141&amp;" (significant)","Not significant")</f>
        <v>Decrease (significant)</v>
      </c>
    </row>
    <row r="142" customFormat="false" ht="15" hidden="false" customHeight="false" outlineLevel="0" collapsed="false">
      <c r="A142" s="5" t="s">
        <v>511</v>
      </c>
      <c r="B142" s="5" t="s">
        <v>586</v>
      </c>
      <c r="C142" s="5" t="s">
        <v>714</v>
      </c>
      <c r="D142" s="5" t="s">
        <v>437</v>
      </c>
      <c r="E142" s="34" t="n">
        <v>11.7</v>
      </c>
      <c r="F142" s="5" t="s">
        <v>694</v>
      </c>
      <c r="G142" s="5" t="str">
        <f aca="false">IF(E142&gt;0,"Increase",IF(E142&lt;0,"Decrease","No change"))</f>
        <v>Increase</v>
      </c>
      <c r="H142" s="5" t="str">
        <f aca="false">IF(F142="Yes",G142&amp;" (significant)","Not significant")</f>
        <v>Increase (significant)</v>
      </c>
    </row>
    <row r="143" customFormat="false" ht="15" hidden="false" customHeight="false" outlineLevel="0" collapsed="false">
      <c r="A143" s="5" t="s">
        <v>511</v>
      </c>
      <c r="B143" s="5" t="s">
        <v>586</v>
      </c>
      <c r="C143" s="5" t="s">
        <v>698</v>
      </c>
      <c r="D143" s="5" t="s">
        <v>458</v>
      </c>
      <c r="E143" s="34" t="n">
        <v>1.1</v>
      </c>
      <c r="F143" s="5" t="s">
        <v>730</v>
      </c>
      <c r="G143" s="5" t="str">
        <f aca="false">IF(E143&gt;0,"Increase",IF(E143&lt;0,"Decrease","No change"))</f>
        <v>Increase</v>
      </c>
      <c r="H143" s="5" t="str">
        <f aca="false">IF(F143="Yes",G143&amp;" (significant)","Not significant")</f>
        <v>Not significant</v>
      </c>
    </row>
    <row r="144" customFormat="false" ht="15" hidden="false" customHeight="false" outlineLevel="0" collapsed="false">
      <c r="A144" s="5" t="s">
        <v>511</v>
      </c>
      <c r="B144" s="5" t="s">
        <v>586</v>
      </c>
      <c r="C144" s="5" t="s">
        <v>686</v>
      </c>
      <c r="D144" s="5" t="s">
        <v>463</v>
      </c>
      <c r="E144" s="34" t="n">
        <v>0.3</v>
      </c>
      <c r="F144" s="5" t="s">
        <v>730</v>
      </c>
      <c r="G144" s="5" t="str">
        <f aca="false">IF(E144&gt;0,"Increase",IF(E144&lt;0,"Decrease","No change"))</f>
        <v>Increase</v>
      </c>
      <c r="H144" s="5" t="str">
        <f aca="false">IF(F144="Yes",G144&amp;" (significant)","Not significant")</f>
        <v>Not significant</v>
      </c>
    </row>
    <row r="145" customFormat="false" ht="15" hidden="false" customHeight="false" outlineLevel="0" collapsed="false">
      <c r="A145" s="5" t="s">
        <v>511</v>
      </c>
      <c r="B145" s="5" t="s">
        <v>586</v>
      </c>
      <c r="C145" s="5" t="s">
        <v>688</v>
      </c>
      <c r="D145" s="5" t="s">
        <v>463</v>
      </c>
      <c r="E145" s="34" t="n">
        <v>-0.1</v>
      </c>
      <c r="F145" s="5" t="s">
        <v>730</v>
      </c>
      <c r="G145" s="5" t="str">
        <f aca="false">IF(E145&gt;0,"Increase",IF(E145&lt;0,"Decrease","No change"))</f>
        <v>Decrease</v>
      </c>
      <c r="H145" s="5" t="str">
        <f aca="false">IF(F145="Yes",G145&amp;" (significant)","Not significant")</f>
        <v>Not significant</v>
      </c>
    </row>
    <row r="146" customFormat="false" ht="15" hidden="false" customHeight="false" outlineLevel="0" collapsed="false">
      <c r="A146" s="5" t="s">
        <v>511</v>
      </c>
      <c r="B146" s="5" t="s">
        <v>586</v>
      </c>
      <c r="C146" s="5" t="s">
        <v>713</v>
      </c>
      <c r="D146" s="5" t="s">
        <v>437</v>
      </c>
      <c r="E146" s="34" t="n">
        <v>-0.7</v>
      </c>
      <c r="F146" s="5" t="s">
        <v>730</v>
      </c>
      <c r="G146" s="5" t="str">
        <f aca="false">IF(E146&gt;0,"Increase",IF(E146&lt;0,"Decrease","No change"))</f>
        <v>Decrease</v>
      </c>
      <c r="H146" s="5" t="str">
        <f aca="false">IF(F146="Yes",G146&amp;" (significant)","Not significant")</f>
        <v>Not significant</v>
      </c>
    </row>
    <row r="147" customFormat="false" ht="15" hidden="false" customHeight="false" outlineLevel="0" collapsed="false">
      <c r="A147" s="5" t="s">
        <v>511</v>
      </c>
      <c r="B147" s="5" t="s">
        <v>586</v>
      </c>
      <c r="C147" s="5" t="s">
        <v>689</v>
      </c>
      <c r="D147" s="5" t="s">
        <v>463</v>
      </c>
      <c r="E147" s="34" t="n">
        <v>-0.7</v>
      </c>
      <c r="F147" s="5" t="s">
        <v>694</v>
      </c>
      <c r="G147" s="5" t="str">
        <f aca="false">IF(E147&gt;0,"Increase",IF(E147&lt;0,"Decrease","No change"))</f>
        <v>Decrease</v>
      </c>
      <c r="H147" s="5" t="str">
        <f aca="false">IF(F147="Yes",G147&amp;" (significant)","Not significant")</f>
        <v>Decrease (significant)</v>
      </c>
    </row>
    <row r="148" customFormat="false" ht="15" hidden="false" customHeight="false" outlineLevel="0" collapsed="false">
      <c r="A148" s="5" t="s">
        <v>511</v>
      </c>
      <c r="B148" s="5" t="s">
        <v>586</v>
      </c>
      <c r="C148" s="5" t="s">
        <v>430</v>
      </c>
      <c r="D148" s="5" t="s">
        <v>421</v>
      </c>
      <c r="E148" s="34" t="n">
        <v>-1.2</v>
      </c>
      <c r="F148" s="5" t="s">
        <v>694</v>
      </c>
      <c r="G148" s="5" t="str">
        <f aca="false">IF(E148&gt;0,"Increase",IF(E148&lt;0,"Decrease","No change"))</f>
        <v>Decrease</v>
      </c>
      <c r="H148" s="5" t="str">
        <f aca="false">IF(F148="Yes",G148&amp;" (significant)","Not significant")</f>
        <v>Decrease (significant)</v>
      </c>
    </row>
    <row r="149" customFormat="false" ht="15" hidden="false" customHeight="false" outlineLevel="0" collapsed="false">
      <c r="A149" s="5" t="s">
        <v>511</v>
      </c>
      <c r="B149" s="5" t="s">
        <v>586</v>
      </c>
      <c r="C149" s="5" t="s">
        <v>697</v>
      </c>
      <c r="D149" s="5" t="s">
        <v>458</v>
      </c>
      <c r="E149" s="34" t="n">
        <v>-1.6</v>
      </c>
      <c r="F149" s="5" t="s">
        <v>694</v>
      </c>
      <c r="G149" s="5" t="str">
        <f aca="false">IF(E149&gt;0,"Increase",IF(E149&lt;0,"Decrease","No change"))</f>
        <v>Decrease</v>
      </c>
      <c r="H149" s="5" t="str">
        <f aca="false">IF(F149="Yes",G149&amp;" (significant)","Not significant")</f>
        <v>Decrease (significant)</v>
      </c>
    </row>
    <row r="150" customFormat="false" ht="15" hidden="false" customHeight="false" outlineLevel="0" collapsed="false">
      <c r="A150" s="5" t="s">
        <v>511</v>
      </c>
      <c r="B150" s="5" t="s">
        <v>586</v>
      </c>
      <c r="C150" s="5" t="s">
        <v>438</v>
      </c>
      <c r="D150" s="5" t="s">
        <v>437</v>
      </c>
      <c r="E150" s="34" t="n">
        <v>-1.7</v>
      </c>
      <c r="F150" s="5" t="s">
        <v>730</v>
      </c>
      <c r="G150" s="5" t="str">
        <f aca="false">IF(E150&gt;0,"Increase",IF(E150&lt;0,"Decrease","No change"))</f>
        <v>Decrease</v>
      </c>
      <c r="H150" s="5" t="str">
        <f aca="false">IF(F150="Yes",G150&amp;" (significant)","Not significant")</f>
        <v>Not significant</v>
      </c>
    </row>
    <row r="151" customFormat="false" ht="15" hidden="false" customHeight="false" outlineLevel="0" collapsed="false">
      <c r="A151" s="5" t="s">
        <v>511</v>
      </c>
      <c r="B151" s="5" t="s">
        <v>586</v>
      </c>
      <c r="C151" s="5" t="s">
        <v>701</v>
      </c>
      <c r="D151" s="5" t="s">
        <v>432</v>
      </c>
      <c r="E151" s="34" t="n">
        <v>-2.3</v>
      </c>
      <c r="F151" s="5" t="s">
        <v>730</v>
      </c>
      <c r="G151" s="5" t="str">
        <f aca="false">IF(E151&gt;0,"Increase",IF(E151&lt;0,"Decrease","No change"))</f>
        <v>Decrease</v>
      </c>
      <c r="H151" s="5" t="str">
        <f aca="false">IF(F151="Yes",G151&amp;" (significant)","Not significant")</f>
        <v>Not significant</v>
      </c>
    </row>
    <row r="152" customFormat="false" ht="15" hidden="false" customHeight="false" outlineLevel="0" collapsed="false">
      <c r="A152" s="5" t="s">
        <v>511</v>
      </c>
      <c r="B152" s="5" t="s">
        <v>586</v>
      </c>
      <c r="C152" s="5" t="s">
        <v>446</v>
      </c>
      <c r="D152" s="5" t="s">
        <v>437</v>
      </c>
      <c r="E152" s="34" t="n">
        <v>-2.8</v>
      </c>
      <c r="F152" s="5" t="s">
        <v>694</v>
      </c>
      <c r="G152" s="5" t="str">
        <f aca="false">IF(E152&gt;0,"Increase",IF(E152&lt;0,"Decrease","No change"))</f>
        <v>Decrease</v>
      </c>
      <c r="H152" s="5" t="str">
        <f aca="false">IF(F152="Yes",G152&amp;" (significant)","Not significant")</f>
        <v>Decrease (significant)</v>
      </c>
    </row>
    <row r="153" customFormat="false" ht="15" hidden="false" customHeight="false" outlineLevel="0" collapsed="false">
      <c r="A153" s="5" t="s">
        <v>511</v>
      </c>
      <c r="B153" s="5" t="s">
        <v>586</v>
      </c>
      <c r="C153" s="5" t="s">
        <v>702</v>
      </c>
      <c r="D153" s="5" t="s">
        <v>437</v>
      </c>
      <c r="E153" s="34" t="n">
        <v>-3.5</v>
      </c>
      <c r="F153" s="5" t="s">
        <v>730</v>
      </c>
      <c r="G153" s="5" t="str">
        <f aca="false">IF(E153&gt;0,"Increase",IF(E153&lt;0,"Decrease","No change"))</f>
        <v>Decrease</v>
      </c>
      <c r="H153" s="5" t="str">
        <f aca="false">IF(F153="Yes",G153&amp;" (significant)","Not significant")</f>
        <v>Not significant</v>
      </c>
    </row>
    <row r="155" customFormat="false" ht="90" hidden="false" customHeight="true" outlineLevel="0" collapsed="false">
      <c r="A155" s="26" t="s">
        <v>733</v>
      </c>
      <c r="B155" s="26"/>
      <c r="C155" s="26"/>
      <c r="D155" s="26"/>
      <c r="E155" s="26"/>
      <c r="F155" s="26"/>
      <c r="G155" s="26"/>
      <c r="H155" s="26"/>
    </row>
  </sheetData>
  <autoFilter ref="A1:H153"/>
  <mergeCells count="1">
    <mergeCell ref="A155:H1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8"/>
    <col collapsed="false" customWidth="true" hidden="false" outlineLevel="0" max="3" min="3" style="0" width="14"/>
    <col collapsed="false" customWidth="true" hidden="false" outlineLevel="0" max="4" min="4" style="0" width="11"/>
    <col collapsed="false" customWidth="true" hidden="false" outlineLevel="0" max="8" min="5" style="0" width="12"/>
    <col collapsed="false" customWidth="true" hidden="false" outlineLevel="0" max="9" min="9" style="0" width="10"/>
    <col collapsed="false" customWidth="true" hidden="false" outlineLevel="0" max="10" min="10" style="0" width="18"/>
    <col collapsed="false" customWidth="true" hidden="false" outlineLevel="0" max="11" min="11" style="0" width="44"/>
  </cols>
  <sheetData>
    <row r="1" customFormat="false" ht="45" hidden="false" customHeight="true" outlineLevel="0" collapsed="false">
      <c r="A1" s="3" t="s">
        <v>734</v>
      </c>
      <c r="B1" s="3" t="s">
        <v>735</v>
      </c>
      <c r="C1" s="3" t="s">
        <v>566</v>
      </c>
      <c r="D1" s="3" t="s">
        <v>564</v>
      </c>
      <c r="E1" s="3" t="s">
        <v>736</v>
      </c>
      <c r="F1" s="3" t="s">
        <v>737</v>
      </c>
      <c r="G1" s="3" t="s">
        <v>738</v>
      </c>
      <c r="H1" s="3" t="s">
        <v>739</v>
      </c>
      <c r="I1" s="8" t="s">
        <v>740</v>
      </c>
      <c r="J1" s="8" t="s">
        <v>741</v>
      </c>
      <c r="K1" s="3" t="s">
        <v>742</v>
      </c>
    </row>
    <row r="2" customFormat="false" ht="28.35" hidden="false" customHeight="false" outlineLevel="0" collapsed="false">
      <c r="A2" s="5" t="s">
        <v>743</v>
      </c>
      <c r="B2" s="5" t="s">
        <v>744</v>
      </c>
      <c r="C2" s="5" t="s">
        <v>528</v>
      </c>
      <c r="D2" s="5" t="s">
        <v>586</v>
      </c>
      <c r="E2" s="27" t="n">
        <v>29</v>
      </c>
      <c r="F2" s="27" t="n">
        <v>57</v>
      </c>
      <c r="G2" s="27" t="n">
        <v>10.3</v>
      </c>
      <c r="H2" s="27" t="n">
        <v>3.7</v>
      </c>
      <c r="I2" s="27" t="n">
        <f aca="false">SUM(E2:H2)</f>
        <v>100</v>
      </c>
      <c r="J2" s="27" t="n">
        <f aca="false">F2+G2</f>
        <v>67.3</v>
      </c>
      <c r="K2" s="5" t="s">
        <v>745</v>
      </c>
    </row>
    <row r="3" customFormat="false" ht="28.35" hidden="false" customHeight="false" outlineLevel="0" collapsed="false">
      <c r="A3" s="5" t="s">
        <v>743</v>
      </c>
      <c r="B3" s="5" t="s">
        <v>744</v>
      </c>
      <c r="C3" s="5" t="s">
        <v>731</v>
      </c>
      <c r="D3" s="5" t="s">
        <v>586</v>
      </c>
      <c r="E3" s="27" t="n">
        <v>32.8</v>
      </c>
      <c r="F3" s="27" t="n">
        <v>60</v>
      </c>
      <c r="G3" s="27" t="n">
        <v>5.1</v>
      </c>
      <c r="H3" s="27" t="n">
        <v>2.2</v>
      </c>
      <c r="I3" s="27" t="n">
        <f aca="false">SUM(E3:H3)</f>
        <v>100.1</v>
      </c>
      <c r="J3" s="27" t="n">
        <f aca="false">F3+G3</f>
        <v>65.1</v>
      </c>
      <c r="K3" s="5" t="s">
        <v>746</v>
      </c>
    </row>
    <row r="4" customFormat="false" ht="28.35" hidden="false" customHeight="false" outlineLevel="0" collapsed="false">
      <c r="A4" s="5" t="s">
        <v>743</v>
      </c>
      <c r="B4" s="5" t="s">
        <v>744</v>
      </c>
      <c r="C4" s="5" t="s">
        <v>732</v>
      </c>
      <c r="D4" s="5" t="s">
        <v>747</v>
      </c>
      <c r="E4" s="27" t="n">
        <v>25.2</v>
      </c>
      <c r="F4" s="27" t="n">
        <v>66.6</v>
      </c>
      <c r="G4" s="27" t="n">
        <v>4.8</v>
      </c>
      <c r="H4" s="27" t="n">
        <v>3.4</v>
      </c>
      <c r="I4" s="27" t="n">
        <f aca="false">SUM(E4:H4)</f>
        <v>100</v>
      </c>
      <c r="J4" s="27" t="n">
        <f aca="false">F4+G4</f>
        <v>71.4</v>
      </c>
      <c r="K4" s="5" t="s">
        <v>748</v>
      </c>
    </row>
    <row r="5" customFormat="false" ht="28.35" hidden="false" customHeight="false" outlineLevel="0" collapsed="false">
      <c r="A5" s="5" t="s">
        <v>743</v>
      </c>
      <c r="B5" s="5" t="s">
        <v>744</v>
      </c>
      <c r="C5" s="5" t="s">
        <v>511</v>
      </c>
      <c r="D5" s="5" t="s">
        <v>747</v>
      </c>
      <c r="E5" s="27" t="n">
        <v>18.7</v>
      </c>
      <c r="F5" s="27" t="n">
        <v>50.8</v>
      </c>
      <c r="G5" s="27" t="n">
        <v>24.7</v>
      </c>
      <c r="H5" s="27" t="n">
        <v>5.8</v>
      </c>
      <c r="I5" s="27" t="n">
        <f aca="false">SUM(E5:H5)</f>
        <v>100</v>
      </c>
      <c r="J5" s="27" t="n">
        <f aca="false">F5+G5</f>
        <v>75.5</v>
      </c>
      <c r="K5" s="5" t="s">
        <v>749</v>
      </c>
    </row>
    <row r="6" customFormat="false" ht="28.35" hidden="false" customHeight="false" outlineLevel="0" collapsed="false">
      <c r="A6" s="5" t="s">
        <v>743</v>
      </c>
      <c r="B6" s="5" t="s">
        <v>744</v>
      </c>
      <c r="C6" s="5" t="s">
        <v>598</v>
      </c>
      <c r="D6" s="5" t="s">
        <v>574</v>
      </c>
      <c r="E6" s="27" t="n">
        <v>13.9</v>
      </c>
      <c r="F6" s="27" t="n">
        <v>37</v>
      </c>
      <c r="G6" s="27" t="n">
        <v>44</v>
      </c>
      <c r="H6" s="27" t="n">
        <v>5.1</v>
      </c>
      <c r="I6" s="27" t="n">
        <f aca="false">SUM(E6:H6)</f>
        <v>100</v>
      </c>
      <c r="J6" s="27" t="n">
        <f aca="false">F6+G6</f>
        <v>81</v>
      </c>
      <c r="K6" s="5" t="s">
        <v>750</v>
      </c>
    </row>
    <row r="7" customFormat="false" ht="28.35" hidden="false" customHeight="false" outlineLevel="0" collapsed="false">
      <c r="A7" s="5" t="s">
        <v>743</v>
      </c>
      <c r="B7" s="5" t="s">
        <v>744</v>
      </c>
      <c r="C7" s="5" t="s">
        <v>598</v>
      </c>
      <c r="D7" s="5" t="s">
        <v>586</v>
      </c>
      <c r="E7" s="27" t="n">
        <v>17</v>
      </c>
      <c r="F7" s="27" t="n">
        <v>29.8</v>
      </c>
      <c r="G7" s="27" t="n">
        <v>47.6</v>
      </c>
      <c r="H7" s="27" t="n">
        <v>5.6</v>
      </c>
      <c r="I7" s="27" t="n">
        <f aca="false">SUM(E7:H7)</f>
        <v>100</v>
      </c>
      <c r="J7" s="27" t="n">
        <f aca="false">F7+G7</f>
        <v>77.4</v>
      </c>
      <c r="K7" s="5" t="s">
        <v>751</v>
      </c>
    </row>
    <row r="8" customFormat="false" ht="28.35" hidden="false" customHeight="false" outlineLevel="0" collapsed="false">
      <c r="A8" s="5" t="s">
        <v>752</v>
      </c>
      <c r="B8" s="5" t="s">
        <v>753</v>
      </c>
      <c r="C8" s="5" t="s">
        <v>598</v>
      </c>
      <c r="D8" s="5" t="s">
        <v>574</v>
      </c>
      <c r="E8" s="27" t="n">
        <v>8</v>
      </c>
      <c r="F8" s="27" t="n">
        <v>25</v>
      </c>
      <c r="G8" s="27" t="n">
        <v>50</v>
      </c>
      <c r="H8" s="27" t="n">
        <v>17</v>
      </c>
      <c r="I8" s="27" t="n">
        <f aca="false">SUM(E8:H8)</f>
        <v>100</v>
      </c>
      <c r="J8" s="27" t="n">
        <f aca="false">F8+G8</f>
        <v>75</v>
      </c>
      <c r="K8" s="5" t="s">
        <v>754</v>
      </c>
    </row>
    <row r="9" customFormat="false" ht="28.35" hidden="false" customHeight="false" outlineLevel="0" collapsed="false">
      <c r="A9" s="5" t="s">
        <v>752</v>
      </c>
      <c r="B9" s="5" t="s">
        <v>753</v>
      </c>
      <c r="C9" s="5" t="s">
        <v>511</v>
      </c>
      <c r="D9" s="5" t="s">
        <v>574</v>
      </c>
      <c r="E9" s="27" t="n">
        <v>11</v>
      </c>
      <c r="F9" s="27" t="n">
        <v>41</v>
      </c>
      <c r="G9" s="27" t="n">
        <v>28</v>
      </c>
      <c r="H9" s="27" t="n">
        <v>20</v>
      </c>
      <c r="I9" s="27" t="n">
        <f aca="false">SUM(E9:H9)</f>
        <v>100</v>
      </c>
      <c r="J9" s="27" t="n">
        <f aca="false">F9+G9</f>
        <v>69</v>
      </c>
      <c r="K9" s="5" t="s">
        <v>754</v>
      </c>
    </row>
    <row r="10" customFormat="false" ht="28.35" hidden="false" customHeight="false" outlineLevel="0" collapsed="false">
      <c r="A10" s="5" t="s">
        <v>752</v>
      </c>
      <c r="B10" s="5" t="s">
        <v>753</v>
      </c>
      <c r="C10" s="5" t="s">
        <v>732</v>
      </c>
      <c r="D10" s="5" t="s">
        <v>574</v>
      </c>
      <c r="E10" s="27" t="n">
        <v>25</v>
      </c>
      <c r="F10" s="27" t="n">
        <v>66</v>
      </c>
      <c r="G10" s="27" t="n">
        <v>1</v>
      </c>
      <c r="H10" s="27" t="n">
        <v>8</v>
      </c>
      <c r="I10" s="27" t="n">
        <f aca="false">SUM(E10:H10)</f>
        <v>100</v>
      </c>
      <c r="J10" s="27" t="n">
        <f aca="false">F10+G10</f>
        <v>67</v>
      </c>
      <c r="K10" s="5" t="s">
        <v>754</v>
      </c>
    </row>
    <row r="11" customFormat="false" ht="28.35" hidden="false" customHeight="false" outlineLevel="0" collapsed="false">
      <c r="A11" s="5" t="s">
        <v>752</v>
      </c>
      <c r="B11" s="5" t="s">
        <v>753</v>
      </c>
      <c r="C11" s="5" t="s">
        <v>528</v>
      </c>
      <c r="D11" s="5" t="s">
        <v>586</v>
      </c>
      <c r="E11" s="27" t="n">
        <v>19</v>
      </c>
      <c r="F11" s="27" t="n">
        <v>55</v>
      </c>
      <c r="G11" s="27" t="n">
        <v>13</v>
      </c>
      <c r="H11" s="27" t="n">
        <v>13</v>
      </c>
      <c r="I11" s="27" t="n">
        <f aca="false">SUM(E11:H11)</f>
        <v>100</v>
      </c>
      <c r="J11" s="27" t="n">
        <f aca="false">F11+G11</f>
        <v>68</v>
      </c>
      <c r="K11" s="5" t="s">
        <v>754</v>
      </c>
    </row>
    <row r="12" customFormat="false" ht="28.35" hidden="false" customHeight="false" outlineLevel="0" collapsed="false">
      <c r="A12" s="5" t="s">
        <v>752</v>
      </c>
      <c r="B12" s="5" t="s">
        <v>753</v>
      </c>
      <c r="C12" s="5" t="s">
        <v>731</v>
      </c>
      <c r="D12" s="5" t="s">
        <v>586</v>
      </c>
      <c r="E12" s="27" t="n">
        <v>33</v>
      </c>
      <c r="F12" s="27" t="n">
        <v>50</v>
      </c>
      <c r="G12" s="27" t="n">
        <v>7</v>
      </c>
      <c r="H12" s="27" t="n">
        <v>10</v>
      </c>
      <c r="I12" s="27" t="n">
        <f aca="false">SUM(E12:H12)</f>
        <v>100</v>
      </c>
      <c r="J12" s="27" t="n">
        <f aca="false">F12+G12</f>
        <v>57</v>
      </c>
      <c r="K12" s="5" t="s">
        <v>754</v>
      </c>
    </row>
    <row r="13" customFormat="false" ht="28.35" hidden="false" customHeight="false" outlineLevel="0" collapsed="false">
      <c r="A13" s="5" t="s">
        <v>752</v>
      </c>
      <c r="B13" s="5" t="s">
        <v>753</v>
      </c>
      <c r="C13" s="5" t="s">
        <v>598</v>
      </c>
      <c r="D13" s="5" t="s">
        <v>586</v>
      </c>
      <c r="E13" s="27" t="n">
        <v>9</v>
      </c>
      <c r="F13" s="27" t="n">
        <v>17</v>
      </c>
      <c r="G13" s="27" t="n">
        <v>56</v>
      </c>
      <c r="H13" s="27" t="n">
        <v>18</v>
      </c>
      <c r="I13" s="27" t="n">
        <f aca="false">SUM(E13:H13)</f>
        <v>100</v>
      </c>
      <c r="J13" s="27" t="n">
        <f aca="false">F13+G13</f>
        <v>73</v>
      </c>
      <c r="K13" s="5" t="s">
        <v>754</v>
      </c>
    </row>
    <row r="14" customFormat="false" ht="28.35" hidden="false" customHeight="false" outlineLevel="0" collapsed="false">
      <c r="A14" s="5" t="s">
        <v>752</v>
      </c>
      <c r="B14" s="5" t="s">
        <v>753</v>
      </c>
      <c r="C14" s="5" t="s">
        <v>511</v>
      </c>
      <c r="D14" s="5" t="s">
        <v>586</v>
      </c>
      <c r="E14" s="27" t="n">
        <v>14</v>
      </c>
      <c r="F14" s="27" t="n">
        <v>35</v>
      </c>
      <c r="G14" s="27" t="n">
        <v>31</v>
      </c>
      <c r="H14" s="27" t="n">
        <v>20</v>
      </c>
      <c r="I14" s="27" t="n">
        <f aca="false">SUM(E14:H14)</f>
        <v>100</v>
      </c>
      <c r="J14" s="27" t="n">
        <f aca="false">F14+G14</f>
        <v>66</v>
      </c>
      <c r="K14" s="5" t="s">
        <v>754</v>
      </c>
    </row>
    <row r="15" customFormat="false" ht="28.35" hidden="false" customHeight="false" outlineLevel="0" collapsed="false">
      <c r="A15" s="5" t="s">
        <v>752</v>
      </c>
      <c r="B15" s="5" t="s">
        <v>753</v>
      </c>
      <c r="C15" s="5" t="s">
        <v>732</v>
      </c>
      <c r="D15" s="5" t="s">
        <v>586</v>
      </c>
      <c r="E15" s="27" t="n">
        <v>28</v>
      </c>
      <c r="F15" s="27" t="n">
        <v>63</v>
      </c>
      <c r="G15" s="27" t="n">
        <v>1</v>
      </c>
      <c r="H15" s="27" t="n">
        <v>8</v>
      </c>
      <c r="I15" s="27" t="n">
        <f aca="false">SUM(E15:H15)</f>
        <v>100</v>
      </c>
      <c r="J15" s="27" t="n">
        <f aca="false">F15+G15</f>
        <v>64</v>
      </c>
      <c r="K15" s="5" t="s">
        <v>754</v>
      </c>
    </row>
    <row r="17" customFormat="false" ht="45" hidden="false" customHeight="true" outlineLevel="0" collapsed="false">
      <c r="A17" s="26" t="s">
        <v>755</v>
      </c>
      <c r="B17" s="26"/>
      <c r="C17" s="26"/>
      <c r="D17" s="26"/>
      <c r="E17" s="26"/>
      <c r="F17" s="26"/>
      <c r="G17" s="26"/>
      <c r="H17" s="26"/>
      <c r="I17" s="26"/>
      <c r="J17" s="26"/>
      <c r="K17" s="26"/>
    </row>
  </sheetData>
  <autoFilter ref="A1:K15"/>
  <mergeCells count="1">
    <mergeCell ref="A17:K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4"/>
    <col collapsed="false" customWidth="true" hidden="false" outlineLevel="0" max="4" min="3" style="0" width="52"/>
  </cols>
  <sheetData>
    <row r="1" customFormat="false" ht="45" hidden="false" customHeight="true" outlineLevel="0" collapsed="false">
      <c r="A1" s="3" t="s">
        <v>756</v>
      </c>
      <c r="B1" s="3" t="s">
        <v>757</v>
      </c>
      <c r="C1" s="3" t="s">
        <v>758</v>
      </c>
      <c r="D1" s="3" t="s">
        <v>759</v>
      </c>
    </row>
    <row r="2" customFormat="false" ht="41.75" hidden="false" customHeight="false" outlineLevel="0" collapsed="false">
      <c r="A2" s="9" t="s">
        <v>760</v>
      </c>
      <c r="B2" s="5" t="s">
        <v>761</v>
      </c>
      <c r="C2" s="5" t="s">
        <v>762</v>
      </c>
      <c r="D2" s="5" t="s">
        <v>763</v>
      </c>
    </row>
    <row r="3" customFormat="false" ht="41.75" hidden="false" customHeight="false" outlineLevel="0" collapsed="false">
      <c r="A3" s="9" t="s">
        <v>764</v>
      </c>
      <c r="B3" s="5" t="s">
        <v>765</v>
      </c>
      <c r="C3" s="5" t="s">
        <v>766</v>
      </c>
      <c r="D3" s="5" t="s">
        <v>767</v>
      </c>
    </row>
    <row r="4" customFormat="false" ht="15" hidden="false" customHeight="false" outlineLevel="0" collapsed="false">
      <c r="A4" s="9" t="s">
        <v>768</v>
      </c>
      <c r="B4" s="5" t="s">
        <v>769</v>
      </c>
      <c r="C4" s="5" t="s">
        <v>769</v>
      </c>
      <c r="D4" s="5" t="s">
        <v>769</v>
      </c>
    </row>
    <row r="5" customFormat="false" ht="41.75" hidden="false" customHeight="false" outlineLevel="0" collapsed="false">
      <c r="A5" s="9" t="s">
        <v>208</v>
      </c>
      <c r="B5" s="5" t="s">
        <v>770</v>
      </c>
      <c r="C5" s="5" t="s">
        <v>771</v>
      </c>
      <c r="D5" s="5" t="s">
        <v>772</v>
      </c>
    </row>
    <row r="6" customFormat="false" ht="28.35" hidden="false" customHeight="false" outlineLevel="0" collapsed="false">
      <c r="A6" s="9" t="s">
        <v>773</v>
      </c>
      <c r="B6" s="5" t="s">
        <v>774</v>
      </c>
      <c r="C6" s="5" t="s">
        <v>775</v>
      </c>
      <c r="D6" s="5" t="s">
        <v>776</v>
      </c>
    </row>
    <row r="7" customFormat="false" ht="15" hidden="false" customHeight="false" outlineLevel="0" collapsed="false">
      <c r="A7" s="9" t="s">
        <v>777</v>
      </c>
      <c r="B7" s="5" t="s">
        <v>778</v>
      </c>
      <c r="C7" s="5" t="s">
        <v>779</v>
      </c>
      <c r="D7" s="5" t="s">
        <v>778</v>
      </c>
    </row>
    <row r="9" customFormat="false" ht="90" hidden="false" customHeight="true" outlineLevel="0" collapsed="false">
      <c r="A9" s="26" t="s">
        <v>780</v>
      </c>
      <c r="B9" s="26"/>
      <c r="C9" s="26"/>
      <c r="D9" s="26"/>
    </row>
  </sheetData>
  <autoFilter ref="A1:D7"/>
  <mergeCells count="1">
    <mergeCell ref="A9:D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3" min="3" style="0" width="32"/>
    <col collapsed="false" customWidth="true" hidden="false" outlineLevel="0" max="4" min="4" style="0" width="38"/>
    <col collapsed="false" customWidth="true" hidden="false" outlineLevel="0" max="5" min="5" style="0" width="11"/>
    <col collapsed="false" customWidth="true" hidden="false" outlineLevel="0" max="7" min="6" style="0" width="9"/>
    <col collapsed="false" customWidth="true" hidden="false" outlineLevel="0" max="17" min="8" style="0" width="13"/>
  </cols>
  <sheetData>
    <row r="1" customFormat="false" ht="45" hidden="false" customHeight="true" outlineLevel="0" collapsed="false">
      <c r="A1" s="3" t="s">
        <v>781</v>
      </c>
      <c r="B1" s="3" t="s">
        <v>782</v>
      </c>
      <c r="C1" s="3" t="s">
        <v>783</v>
      </c>
      <c r="D1" s="3" t="s">
        <v>784</v>
      </c>
      <c r="E1" s="3" t="s">
        <v>785</v>
      </c>
      <c r="F1" s="3" t="s">
        <v>786</v>
      </c>
      <c r="G1" s="3" t="s">
        <v>787</v>
      </c>
      <c r="H1" s="8" t="s">
        <v>671</v>
      </c>
      <c r="I1" s="8" t="s">
        <v>674</v>
      </c>
      <c r="J1" s="8" t="s">
        <v>788</v>
      </c>
      <c r="K1" s="8" t="s">
        <v>789</v>
      </c>
      <c r="L1" s="8" t="s">
        <v>790</v>
      </c>
      <c r="M1" s="8" t="s">
        <v>791</v>
      </c>
      <c r="N1" s="8" t="s">
        <v>792</v>
      </c>
      <c r="O1" s="8" t="s">
        <v>793</v>
      </c>
      <c r="P1" s="8" t="s">
        <v>794</v>
      </c>
      <c r="Q1" s="8" t="s">
        <v>795</v>
      </c>
    </row>
    <row r="2" customFormat="false" ht="15" hidden="false" customHeight="false" outlineLevel="0" collapsed="false">
      <c r="A2" s="9" t="s">
        <v>693</v>
      </c>
      <c r="B2" s="6" t="n">
        <v>1978</v>
      </c>
      <c r="C2" s="5" t="s">
        <v>796</v>
      </c>
      <c r="D2" s="5" t="s">
        <v>797</v>
      </c>
      <c r="E2" s="36" t="n">
        <v>148</v>
      </c>
      <c r="F2" s="27" t="n">
        <v>100</v>
      </c>
      <c r="G2" s="27" t="n">
        <v>0</v>
      </c>
      <c r="H2" s="7" t="n">
        <f aca="false">IFERROR(INDEX('PBCR Incidence Table'!$F$2:$F$33,MATCH($A2,'PBCR Incidence Table'!$A$2:$A$33,0)),"n/a")</f>
        <v>385</v>
      </c>
      <c r="I2" s="7" t="n">
        <f aca="false">IFERROR(INDEX('PBCR Incidence Table'!$K$2:$K$33,MATCH($A2,'PBCR Incidence Table'!$A$2:$A$33,0)),"n/a")</f>
        <v>400</v>
      </c>
      <c r="J2" s="7" t="n">
        <f aca="false">IF(ISNUMBER(H2),H2+I2,"n/a")</f>
        <v>785</v>
      </c>
      <c r="K2" s="28" t="n">
        <f aca="false">IF(ISNUMBER(H2),H2/J2,"n/a")</f>
        <v>0.490445859872611</v>
      </c>
      <c r="L2" s="27" t="n">
        <f aca="false">IFERROR(INDEX('PBCR Incidence Table'!$G$2:$G$33,MATCH($A2,'PBCR Incidence Table'!$A$2:$A$33,0)),"n/a")</f>
        <v>56.6</v>
      </c>
      <c r="M2" s="27" t="n">
        <f aca="false">IFERROR(INDEX('PBCR Incidence Table'!$L$2:$L$33,MATCH($A2,'PBCR Incidence Table'!$A$2:$A$33,0)),"n/a")</f>
        <v>62.9</v>
      </c>
      <c r="N2" s="27" t="n">
        <f aca="false">IFERROR(INDEX('PBCR Incidence Table'!$H$2:$H$33,MATCH($A2,'PBCR Incidence Table'!$A$2:$A$33,0)),"n/a")</f>
        <v>70.9</v>
      </c>
      <c r="O2" s="27" t="n">
        <f aca="false">IFERROR(INDEX('PBCR Incidence Table'!$M$2:$M$33,MATCH($A2,'PBCR Incidence Table'!$A$2:$A$33,0)),"n/a")</f>
        <v>75.1</v>
      </c>
      <c r="P2" s="7" t="n">
        <f aca="false">IFERROR(INDEX('PBCR Incidence Table'!$I$2:$I$33,MATCH($A2,'PBCR Incidence Table'!$A$2:$A$33,0)),"n/a")</f>
        <v>13</v>
      </c>
      <c r="Q2" s="7" t="n">
        <f aca="false">IFERROR(INDEX('PBCR Incidence Table'!$N$2:$N$33,MATCH($A2,'PBCR Incidence Table'!$A$2:$A$33,0)),"n/a")</f>
        <v>12</v>
      </c>
    </row>
    <row r="3" customFormat="false" ht="28.35" hidden="false" customHeight="false" outlineLevel="0" collapsed="false">
      <c r="A3" s="9" t="s">
        <v>695</v>
      </c>
      <c r="B3" s="6" t="n">
        <v>1987</v>
      </c>
      <c r="C3" s="5" t="s">
        <v>798</v>
      </c>
      <c r="D3" s="5" t="s">
        <v>799</v>
      </c>
      <c r="E3" s="36" t="n">
        <v>18262</v>
      </c>
      <c r="F3" s="27" t="n">
        <v>18.7</v>
      </c>
      <c r="G3" s="27" t="n">
        <v>81.3</v>
      </c>
      <c r="H3" s="7" t="n">
        <f aca="false">IFERROR(INDEX('PBCR Incidence Table'!$F$2:$F$33,MATCH($A3,'PBCR Incidence Table'!$A$2:$A$33,0)),"n/a")</f>
        <v>909</v>
      </c>
      <c r="I3" s="7" t="n">
        <f aca="false">IFERROR(INDEX('PBCR Incidence Table'!$K$2:$K$33,MATCH($A3,'PBCR Incidence Table'!$A$2:$A$33,0)),"n/a")</f>
        <v>1117</v>
      </c>
      <c r="J3" s="7" t="n">
        <f aca="false">IF(ISNUMBER(H3),H3+I3,"n/a")</f>
        <v>2026</v>
      </c>
      <c r="K3" s="28" t="n">
        <f aca="false">IF(ISNUMBER(H3),H3/J3,"n/a")</f>
        <v>0.448667324777887</v>
      </c>
      <c r="L3" s="27" t="n">
        <f aca="false">IFERROR(INDEX('PBCR Incidence Table'!$G$2:$G$33,MATCH($A3,'PBCR Incidence Table'!$A$2:$A$33,0)),"n/a")</f>
        <v>39.3</v>
      </c>
      <c r="M3" s="27" t="n">
        <f aca="false">IFERROR(INDEX('PBCR Incidence Table'!$L$2:$L$33,MATCH($A3,'PBCR Incidence Table'!$A$2:$A$33,0)),"n/a")</f>
        <v>52.8</v>
      </c>
      <c r="N3" s="27" t="n">
        <f aca="false">IFERROR(INDEX('PBCR Incidence Table'!$H$2:$H$33,MATCH($A3,'PBCR Incidence Table'!$A$2:$A$33,0)),"n/a")</f>
        <v>39.5</v>
      </c>
      <c r="O3" s="27" t="n">
        <f aca="false">IFERROR(INDEX('PBCR Incidence Table'!$M$2:$M$33,MATCH($A3,'PBCR Incidence Table'!$A$2:$A$33,0)),"n/a")</f>
        <v>49.4</v>
      </c>
      <c r="P3" s="7" t="n">
        <f aca="false">IFERROR(INDEX('PBCR Incidence Table'!$I$2:$I$33,MATCH($A3,'PBCR Incidence Table'!$A$2:$A$33,0)),"n/a")</f>
        <v>23</v>
      </c>
      <c r="Q3" s="7" t="n">
        <f aca="false">IFERROR(INDEX('PBCR Incidence Table'!$N$2:$N$33,MATCH($A3,'PBCR Incidence Table'!$A$2:$A$33,0)),"n/a")</f>
        <v>19</v>
      </c>
    </row>
    <row r="4" customFormat="false" ht="41.75" hidden="false" customHeight="false" outlineLevel="0" collapsed="false">
      <c r="A4" s="9" t="s">
        <v>696</v>
      </c>
      <c r="B4" s="6" t="n">
        <v>1987</v>
      </c>
      <c r="C4" s="5" t="s">
        <v>798</v>
      </c>
      <c r="D4" s="5" t="s">
        <v>800</v>
      </c>
      <c r="E4" s="36" t="n">
        <v>3713</v>
      </c>
      <c r="F4" s="27" t="n">
        <v>0</v>
      </c>
      <c r="G4" s="27" t="n">
        <v>100</v>
      </c>
      <c r="H4" s="7" t="n">
        <f aca="false">IFERROR(INDEX('PBCR Incidence Table'!$F$2:$F$33,MATCH($A4,'PBCR Incidence Table'!$A$2:$A$33,0)),"n/a")</f>
        <v>145</v>
      </c>
      <c r="I4" s="7" t="n">
        <f aca="false">IFERROR(INDEX('PBCR Incidence Table'!$K$2:$K$33,MATCH($A4,'PBCR Incidence Table'!$A$2:$A$33,0)),"n/a")</f>
        <v>163</v>
      </c>
      <c r="J4" s="7" t="n">
        <f aca="false">IF(ISNUMBER(H4),H4+I4,"n/a")</f>
        <v>308</v>
      </c>
      <c r="K4" s="28" t="n">
        <f aca="false">IF(ISNUMBER(H4),H4/J4,"n/a")</f>
        <v>0.470779220779221</v>
      </c>
      <c r="L4" s="27" t="n">
        <f aca="false">IFERROR(INDEX('PBCR Incidence Table'!$G$2:$G$33,MATCH($A4,'PBCR Incidence Table'!$A$2:$A$33,0)),"n/a")</f>
        <v>53.9</v>
      </c>
      <c r="M4" s="27" t="n">
        <f aca="false">IFERROR(INDEX('PBCR Incidence Table'!$L$2:$L$33,MATCH($A4,'PBCR Incidence Table'!$A$2:$A$33,0)),"n/a")</f>
        <v>67.2</v>
      </c>
      <c r="N4" s="27" t="n">
        <f aca="false">IFERROR(INDEX('PBCR Incidence Table'!$H$2:$H$33,MATCH($A4,'PBCR Incidence Table'!$A$2:$A$33,0)),"n/a")</f>
        <v>50.6</v>
      </c>
      <c r="O4" s="27" t="n">
        <f aca="false">IFERROR(INDEX('PBCR Incidence Table'!$M$2:$M$33,MATCH($A4,'PBCR Incidence Table'!$A$2:$A$33,0)),"n/a")</f>
        <v>61</v>
      </c>
      <c r="P4" s="7" t="n">
        <f aca="false">IFERROR(INDEX('PBCR Incidence Table'!$I$2:$I$33,MATCH($A4,'PBCR Incidence Table'!$A$2:$A$33,0)),"n/a")</f>
        <v>17</v>
      </c>
      <c r="Q4" s="7" t="n">
        <f aca="false">IFERROR(INDEX('PBCR Incidence Table'!$N$2:$N$33,MATCH($A4,'PBCR Incidence Table'!$A$2:$A$33,0)),"n/a")</f>
        <v>15</v>
      </c>
    </row>
    <row r="5" customFormat="false" ht="28.35" hidden="false" customHeight="false" outlineLevel="0" collapsed="false">
      <c r="A5" s="9" t="s">
        <v>697</v>
      </c>
      <c r="B5" s="6" t="n">
        <v>1963</v>
      </c>
      <c r="C5" s="5" t="s">
        <v>796</v>
      </c>
      <c r="D5" s="5" t="s">
        <v>801</v>
      </c>
      <c r="E5" s="36" t="n">
        <v>603</v>
      </c>
      <c r="F5" s="27" t="n">
        <v>100</v>
      </c>
      <c r="G5" s="27" t="n">
        <v>0</v>
      </c>
      <c r="H5" s="7" t="n">
        <f aca="false">IFERROR(INDEX('PBCR Incidence Table'!$F$2:$F$33,MATCH($A5,'PBCR Incidence Table'!$A$2:$A$33,0)),"n/a")</f>
        <v>6564</v>
      </c>
      <c r="I5" s="7" t="n">
        <f aca="false">IFERROR(INDEX('PBCR Incidence Table'!$K$2:$K$33,MATCH($A5,'PBCR Incidence Table'!$A$2:$A$33,0)),"n/a")</f>
        <v>6865</v>
      </c>
      <c r="J5" s="7" t="n">
        <f aca="false">IF(ISNUMBER(H5),H5+I5,"n/a")</f>
        <v>13429</v>
      </c>
      <c r="K5" s="28" t="n">
        <f aca="false">IF(ISNUMBER(H5),H5/J5,"n/a")</f>
        <v>0.488792910864547</v>
      </c>
      <c r="L5" s="27" t="n">
        <f aca="false">IFERROR(INDEX('PBCR Incidence Table'!$G$2:$G$33,MATCH($A5,'PBCR Incidence Table'!$A$2:$A$33,0)),"n/a")</f>
        <v>97.3</v>
      </c>
      <c r="M5" s="27" t="n">
        <f aca="false">IFERROR(INDEX('PBCR Incidence Table'!$L$2:$L$33,MATCH($A5,'PBCR Incidence Table'!$A$2:$A$33,0)),"n/a")</f>
        <v>117.6</v>
      </c>
      <c r="N5" s="27" t="n">
        <f aca="false">IFERROR(INDEX('PBCR Incidence Table'!$H$2:$H$33,MATCH($A5,'PBCR Incidence Table'!$A$2:$A$33,0)),"n/a")</f>
        <v>108.4</v>
      </c>
      <c r="O5" s="27" t="n">
        <f aca="false">IFERROR(INDEX('PBCR Incidence Table'!$M$2:$M$33,MATCH($A5,'PBCR Incidence Table'!$A$2:$A$33,0)),"n/a")</f>
        <v>116.2</v>
      </c>
      <c r="P5" s="7" t="n">
        <f aca="false">IFERROR(INDEX('PBCR Incidence Table'!$I$2:$I$33,MATCH($A5,'PBCR Incidence Table'!$A$2:$A$33,0)),"n/a")</f>
        <v>9</v>
      </c>
      <c r="Q5" s="7" t="n">
        <f aca="false">IFERROR(INDEX('PBCR Incidence Table'!$N$2:$N$33,MATCH($A5,'PBCR Incidence Table'!$A$2:$A$33,0)),"n/a")</f>
        <v>8</v>
      </c>
    </row>
    <row r="6" customFormat="false" ht="15" hidden="false" customHeight="false" outlineLevel="0" collapsed="false">
      <c r="A6" s="9" t="s">
        <v>698</v>
      </c>
      <c r="B6" s="6" t="n">
        <v>1972</v>
      </c>
      <c r="C6" s="5" t="s">
        <v>796</v>
      </c>
      <c r="D6" s="5" t="s">
        <v>802</v>
      </c>
      <c r="E6" s="36" t="n">
        <v>613</v>
      </c>
      <c r="F6" s="27" t="n">
        <v>100</v>
      </c>
      <c r="G6" s="27" t="n">
        <v>0</v>
      </c>
      <c r="H6" s="7" t="n">
        <f aca="false">IFERROR(INDEX('PBCR Incidence Table'!$F$2:$F$33,MATCH($A6,'PBCR Incidence Table'!$A$2:$A$33,0)),"n/a")</f>
        <v>1937</v>
      </c>
      <c r="I6" s="7" t="n">
        <f aca="false">IFERROR(INDEX('PBCR Incidence Table'!$K$2:$K$33,MATCH($A6,'PBCR Incidence Table'!$A$2:$A$33,0)),"n/a")</f>
        <v>2164</v>
      </c>
      <c r="J6" s="7" t="n">
        <f aca="false">IF(ISNUMBER(H6),H6+I6,"n/a")</f>
        <v>4101</v>
      </c>
      <c r="K6" s="28" t="n">
        <f aca="false">IF(ISNUMBER(H6),H6/J6,"n/a")</f>
        <v>0.472323823457693</v>
      </c>
      <c r="L6" s="27" t="n">
        <f aca="false">IFERROR(INDEX('PBCR Incidence Table'!$G$2:$G$33,MATCH($A6,'PBCR Incidence Table'!$A$2:$A$33,0)),"n/a")</f>
        <v>67.5</v>
      </c>
      <c r="M6" s="27" t="n">
        <f aca="false">IFERROR(INDEX('PBCR Incidence Table'!$L$2:$L$33,MATCH($A6,'PBCR Incidence Table'!$A$2:$A$33,0)),"n/a")</f>
        <v>83.3</v>
      </c>
      <c r="N6" s="27" t="n">
        <f aca="false">IFERROR(INDEX('PBCR Incidence Table'!$H$2:$H$33,MATCH($A6,'PBCR Incidence Table'!$A$2:$A$33,0)),"n/a")</f>
        <v>83</v>
      </c>
      <c r="O6" s="27" t="n">
        <f aca="false">IFERROR(INDEX('PBCR Incidence Table'!$M$2:$M$33,MATCH($A6,'PBCR Incidence Table'!$A$2:$A$33,0)),"n/a")</f>
        <v>94</v>
      </c>
      <c r="P6" s="7" t="n">
        <f aca="false">IFERROR(INDEX('PBCR Incidence Table'!$I$2:$I$33,MATCH($A6,'PBCR Incidence Table'!$A$2:$A$33,0)),"n/a")</f>
        <v>11</v>
      </c>
      <c r="Q6" s="7" t="n">
        <f aca="false">IFERROR(INDEX('PBCR Incidence Table'!$N$2:$N$33,MATCH($A6,'PBCR Incidence Table'!$A$2:$A$33,0)),"n/a")</f>
        <v>10</v>
      </c>
    </row>
    <row r="7" customFormat="false" ht="28.35" hidden="false" customHeight="false" outlineLevel="0" collapsed="false">
      <c r="A7" s="9" t="s">
        <v>699</v>
      </c>
      <c r="B7" s="6" t="n">
        <v>2010</v>
      </c>
      <c r="C7" s="5" t="s">
        <v>803</v>
      </c>
      <c r="D7" s="5" t="s">
        <v>804</v>
      </c>
      <c r="E7" s="36" t="n">
        <v>6309</v>
      </c>
      <c r="F7" s="27" t="n">
        <v>32.5</v>
      </c>
      <c r="G7" s="27" t="n">
        <v>67.5</v>
      </c>
      <c r="H7" s="7" t="n">
        <f aca="false">IFERROR(INDEX('PBCR Incidence Table'!$F$2:$F$33,MATCH($A7,'PBCR Incidence Table'!$A$2:$A$33,0)),"n/a")</f>
        <v>478</v>
      </c>
      <c r="I7" s="7" t="n">
        <f aca="false">IFERROR(INDEX('PBCR Incidence Table'!$K$2:$K$33,MATCH($A7,'PBCR Incidence Table'!$A$2:$A$33,0)),"n/a")</f>
        <v>507</v>
      </c>
      <c r="J7" s="7" t="n">
        <f aca="false">IF(ISNUMBER(H7),H7+I7,"n/a")</f>
        <v>985</v>
      </c>
      <c r="K7" s="28" t="n">
        <f aca="false">IF(ISNUMBER(H7),H7/J7,"n/a")</f>
        <v>0.485279187817259</v>
      </c>
      <c r="L7" s="27" t="n">
        <f aca="false">IFERROR(INDEX('PBCR Incidence Table'!$G$2:$G$33,MATCH($A7,'PBCR Incidence Table'!$A$2:$A$33,0)),"n/a")</f>
        <v>70.4</v>
      </c>
      <c r="M7" s="27" t="n">
        <f aca="false">IFERROR(INDEX('PBCR Incidence Table'!$L$2:$L$33,MATCH($A7,'PBCR Incidence Table'!$A$2:$A$33,0)),"n/a")</f>
        <v>78.7</v>
      </c>
      <c r="N7" s="27" t="n">
        <f aca="false">IFERROR(INDEX('PBCR Incidence Table'!$H$2:$H$33,MATCH($A7,'PBCR Incidence Table'!$A$2:$A$33,0)),"n/a")</f>
        <v>64.5</v>
      </c>
      <c r="O7" s="27" t="n">
        <f aca="false">IFERROR(INDEX('PBCR Incidence Table'!$M$2:$M$33,MATCH($A7,'PBCR Incidence Table'!$A$2:$A$33,0)),"n/a")</f>
        <v>69.9</v>
      </c>
      <c r="P7" s="7" t="n">
        <f aca="false">IFERROR(INDEX('PBCR Incidence Table'!$I$2:$I$33,MATCH($A7,'PBCR Incidence Table'!$A$2:$A$33,0)),"n/a")</f>
        <v>14</v>
      </c>
      <c r="Q7" s="7" t="n">
        <f aca="false">IFERROR(INDEX('PBCR Incidence Table'!$N$2:$N$33,MATCH($A7,'PBCR Incidence Table'!$A$2:$A$33,0)),"n/a")</f>
        <v>14</v>
      </c>
    </row>
    <row r="8" customFormat="false" ht="15" hidden="false" customHeight="false" outlineLevel="0" collapsed="false">
      <c r="A8" s="9" t="s">
        <v>701</v>
      </c>
      <c r="B8" s="6" t="n">
        <v>1980</v>
      </c>
      <c r="C8" s="5" t="s">
        <v>796</v>
      </c>
      <c r="D8" s="5" t="s">
        <v>805</v>
      </c>
      <c r="E8" s="36" t="n">
        <v>237</v>
      </c>
      <c r="F8" s="27" t="n">
        <v>100</v>
      </c>
      <c r="G8" s="27" t="n">
        <v>0</v>
      </c>
      <c r="H8" s="7" t="n">
        <f aca="false">IFERROR(INDEX('PBCR Incidence Table'!$F$2:$F$33,MATCH($A8,'PBCR Incidence Table'!$A$2:$A$33,0)),"n/a")</f>
        <v>1190</v>
      </c>
      <c r="I8" s="7" t="n">
        <f aca="false">IFERROR(INDEX('PBCR Incidence Table'!$K$2:$K$33,MATCH($A8,'PBCR Incidence Table'!$A$2:$A$33,0)),"n/a")</f>
        <v>1209</v>
      </c>
      <c r="J8" s="7" t="n">
        <f aca="false">IF(ISNUMBER(H8),H8+I8,"n/a")</f>
        <v>2399</v>
      </c>
      <c r="K8" s="28" t="n">
        <f aca="false">IF(ISNUMBER(H8),H8/J8,"n/a")</f>
        <v>0.496040016673614</v>
      </c>
      <c r="L8" s="27" t="n">
        <f aca="false">IFERROR(INDEX('PBCR Incidence Table'!$G$2:$G$33,MATCH($A8,'PBCR Incidence Table'!$A$2:$A$33,0)),"n/a")</f>
        <v>89</v>
      </c>
      <c r="M8" s="27" t="n">
        <f aca="false">IFERROR(INDEX('PBCR Incidence Table'!$L$2:$L$33,MATCH($A8,'PBCR Incidence Table'!$A$2:$A$33,0)),"n/a")</f>
        <v>93.1</v>
      </c>
      <c r="N8" s="27" t="n">
        <f aca="false">IFERROR(INDEX('PBCR Incidence Table'!$H$2:$H$33,MATCH($A8,'PBCR Incidence Table'!$A$2:$A$33,0)),"n/a")</f>
        <v>91.1</v>
      </c>
      <c r="O8" s="27" t="n">
        <f aca="false">IFERROR(INDEX('PBCR Incidence Table'!$M$2:$M$33,MATCH($A8,'PBCR Incidence Table'!$A$2:$A$33,0)),"n/a")</f>
        <v>89.8</v>
      </c>
      <c r="P8" s="7" t="n">
        <f aca="false">IFERROR(INDEX('PBCR Incidence Table'!$I$2:$I$33,MATCH($A8,'PBCR Incidence Table'!$A$2:$A$33,0)),"n/a")</f>
        <v>10</v>
      </c>
      <c r="Q8" s="7" t="n">
        <f aca="false">IFERROR(INDEX('PBCR Incidence Table'!$N$2:$N$33,MATCH($A8,'PBCR Incidence Table'!$A$2:$A$33,0)),"n/a")</f>
        <v>11</v>
      </c>
    </row>
    <row r="9" customFormat="false" ht="28.35" hidden="false" customHeight="false" outlineLevel="0" collapsed="false">
      <c r="A9" s="9" t="s">
        <v>806</v>
      </c>
      <c r="B9" s="6" t="n">
        <v>2020</v>
      </c>
      <c r="C9" s="5" t="s">
        <v>807</v>
      </c>
      <c r="D9" s="5" t="s">
        <v>808</v>
      </c>
      <c r="E9" s="36" t="n">
        <v>1228.93</v>
      </c>
      <c r="F9" s="27" t="n">
        <v>0</v>
      </c>
      <c r="G9" s="27" t="n">
        <v>100</v>
      </c>
      <c r="H9" s="7" t="str">
        <f aca="false">IFERROR(INDEX('PBCR Incidence Table'!$F$2:$F$33,MATCH($A9,'PBCR Incidence Table'!$A$2:$A$33,0)),"n/a")</f>
        <v>n/a</v>
      </c>
      <c r="I9" s="7" t="str">
        <f aca="false">IFERROR(INDEX('PBCR Incidence Table'!$K$2:$K$33,MATCH($A9,'PBCR Incidence Table'!$A$2:$A$33,0)),"n/a")</f>
        <v>n/a</v>
      </c>
      <c r="J9" s="7" t="str">
        <f aca="false">IF(ISNUMBER(H9),H9+I9,"n/a")</f>
        <v>n/a</v>
      </c>
      <c r="K9" s="28" t="str">
        <f aca="false">IF(ISNUMBER(H9),H9/J9,"n/a")</f>
        <v>n/a</v>
      </c>
      <c r="L9" s="27" t="str">
        <f aca="false">IFERROR(INDEX('PBCR Incidence Table'!$G$2:$G$33,MATCH($A9,'PBCR Incidence Table'!$A$2:$A$33,0)),"n/a")</f>
        <v>n/a</v>
      </c>
      <c r="M9" s="27" t="str">
        <f aca="false">IFERROR(INDEX('PBCR Incidence Table'!$L$2:$L$33,MATCH($A9,'PBCR Incidence Table'!$A$2:$A$33,0)),"n/a")</f>
        <v>n/a</v>
      </c>
      <c r="N9" s="27" t="str">
        <f aca="false">IFERROR(INDEX('PBCR Incidence Table'!$H$2:$H$33,MATCH($A9,'PBCR Incidence Table'!$A$2:$A$33,0)),"n/a")</f>
        <v>n/a</v>
      </c>
      <c r="O9" s="27" t="str">
        <f aca="false">IFERROR(INDEX('PBCR Incidence Table'!$M$2:$M$33,MATCH($A9,'PBCR Incidence Table'!$A$2:$A$33,0)),"n/a")</f>
        <v>n/a</v>
      </c>
      <c r="P9" s="7" t="str">
        <f aca="false">IFERROR(INDEX('PBCR Incidence Table'!$I$2:$I$33,MATCH($A9,'PBCR Incidence Table'!$A$2:$A$33,0)),"n/a")</f>
        <v>n/a</v>
      </c>
      <c r="Q9" s="7" t="str">
        <f aca="false">IFERROR(INDEX('PBCR Incidence Table'!$N$2:$N$33,MATCH($A9,'PBCR Incidence Table'!$A$2:$A$33,0)),"n/a")</f>
        <v>n/a</v>
      </c>
    </row>
    <row r="10" customFormat="false" ht="28.35" hidden="false" customHeight="false" outlineLevel="0" collapsed="false">
      <c r="A10" s="13" t="s">
        <v>809</v>
      </c>
      <c r="B10" s="20"/>
      <c r="C10" s="20"/>
      <c r="D10" s="20"/>
      <c r="E10" s="20"/>
      <c r="F10" s="20"/>
      <c r="G10" s="20"/>
      <c r="H10" s="19" t="n">
        <f aca="false">SUM(H2:H9)</f>
        <v>11608</v>
      </c>
      <c r="I10" s="19" t="n">
        <f aca="false">SUM(I2:I9)</f>
        <v>12425</v>
      </c>
      <c r="J10" s="19" t="n">
        <f aca="false">H10+I10</f>
        <v>24033</v>
      </c>
      <c r="K10" s="33" t="n">
        <f aca="false">H10/J10</f>
        <v>0.483002538176674</v>
      </c>
      <c r="L10" s="20"/>
      <c r="M10" s="20"/>
      <c r="N10" s="20"/>
      <c r="O10" s="20"/>
      <c r="P10" s="20"/>
      <c r="Q10" s="20"/>
    </row>
    <row r="11" customFormat="false" ht="48" hidden="false" customHeight="true" outlineLevel="0" collapsed="false">
      <c r="A11" s="9" t="s">
        <v>810</v>
      </c>
      <c r="C11" s="37" t="s">
        <v>811</v>
      </c>
      <c r="D11" s="37"/>
      <c r="E11" s="37"/>
      <c r="F11" s="37"/>
      <c r="G11" s="37"/>
      <c r="H11" s="37"/>
      <c r="I11" s="37"/>
    </row>
    <row r="13" customFormat="false" ht="45" hidden="false" customHeight="true" outlineLevel="0" collapsed="false">
      <c r="A13" s="26" t="s">
        <v>812</v>
      </c>
      <c r="B13" s="26"/>
      <c r="C13" s="26"/>
      <c r="D13" s="26"/>
      <c r="E13" s="26"/>
      <c r="F13" s="26"/>
      <c r="G13" s="26"/>
      <c r="H13" s="26"/>
      <c r="I13" s="26"/>
      <c r="J13" s="26"/>
      <c r="K13" s="26"/>
      <c r="L13" s="26"/>
    </row>
  </sheetData>
  <autoFilter ref="A1:Q9"/>
  <mergeCells count="2">
    <mergeCell ref="C11:I11"/>
    <mergeCell ref="A13:L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13" min="2" style="0" width="13"/>
  </cols>
  <sheetData>
    <row r="1" customFormat="false" ht="45" hidden="false" customHeight="true" outlineLevel="0" collapsed="false">
      <c r="A1" s="3" t="s">
        <v>781</v>
      </c>
      <c r="B1" s="3" t="s">
        <v>813</v>
      </c>
      <c r="C1" s="3" t="s">
        <v>814</v>
      </c>
      <c r="D1" s="3" t="s">
        <v>815</v>
      </c>
      <c r="E1" s="3" t="s">
        <v>816</v>
      </c>
      <c r="F1" s="3" t="s">
        <v>817</v>
      </c>
      <c r="G1" s="3" t="s">
        <v>818</v>
      </c>
      <c r="H1" s="3" t="s">
        <v>819</v>
      </c>
      <c r="I1" s="3" t="s">
        <v>820</v>
      </c>
      <c r="J1" s="8" t="s">
        <v>821</v>
      </c>
      <c r="K1" s="8" t="s">
        <v>822</v>
      </c>
      <c r="L1" s="8" t="s">
        <v>823</v>
      </c>
      <c r="M1" s="8" t="s">
        <v>824</v>
      </c>
    </row>
    <row r="2" customFormat="false" ht="15" hidden="false" customHeight="false" outlineLevel="0" collapsed="false">
      <c r="A2" s="9" t="s">
        <v>697</v>
      </c>
      <c r="B2" s="7" t="n">
        <v>148</v>
      </c>
      <c r="C2" s="7" t="n">
        <v>93</v>
      </c>
      <c r="D2" s="27" t="n">
        <v>107.1</v>
      </c>
      <c r="E2" s="27" t="n">
        <v>73.7</v>
      </c>
      <c r="F2" s="7" t="n">
        <v>216</v>
      </c>
      <c r="G2" s="7" t="n">
        <v>135</v>
      </c>
      <c r="H2" s="27" t="n">
        <v>108.6</v>
      </c>
      <c r="I2" s="27" t="n">
        <v>76.9</v>
      </c>
      <c r="J2" s="7" t="n">
        <f aca="false">B2+C2</f>
        <v>241</v>
      </c>
      <c r="K2" s="18" t="n">
        <f aca="false">B2/C2</f>
        <v>1.59139784946237</v>
      </c>
      <c r="L2" s="7" t="n">
        <f aca="false">F2+G2</f>
        <v>351</v>
      </c>
      <c r="M2" s="7" t="n">
        <f aca="false">L2-J2</f>
        <v>110</v>
      </c>
    </row>
    <row r="3" customFormat="false" ht="15" hidden="false" customHeight="false" outlineLevel="0" collapsed="false">
      <c r="A3" s="9" t="s">
        <v>693</v>
      </c>
      <c r="B3" s="7" t="n">
        <v>16</v>
      </c>
      <c r="C3" s="7" t="n">
        <v>9</v>
      </c>
      <c r="D3" s="27" t="n">
        <v>83</v>
      </c>
      <c r="E3" s="27" t="n">
        <v>51.1</v>
      </c>
      <c r="F3" s="7" t="n">
        <v>22</v>
      </c>
      <c r="G3" s="7" t="n">
        <v>13</v>
      </c>
      <c r="H3" s="27" t="n">
        <v>84.1</v>
      </c>
      <c r="I3" s="27" t="n">
        <v>54.4</v>
      </c>
      <c r="J3" s="7" t="n">
        <f aca="false">B3+C3</f>
        <v>25</v>
      </c>
      <c r="K3" s="18" t="n">
        <f aca="false">B3/C3</f>
        <v>1.77777777777778</v>
      </c>
      <c r="L3" s="7" t="n">
        <f aca="false">F3+G3</f>
        <v>35</v>
      </c>
      <c r="M3" s="7" t="n">
        <f aca="false">L3-J3</f>
        <v>10</v>
      </c>
    </row>
    <row r="4" customFormat="false" ht="15" hidden="false" customHeight="false" outlineLevel="0" collapsed="false">
      <c r="A4" s="9" t="s">
        <v>701</v>
      </c>
      <c r="B4" s="7" t="n">
        <v>31</v>
      </c>
      <c r="C4" s="7" t="n">
        <v>20</v>
      </c>
      <c r="D4" s="27" t="n">
        <v>102</v>
      </c>
      <c r="E4" s="27" t="n">
        <v>72.2</v>
      </c>
      <c r="F4" s="7" t="n">
        <v>46</v>
      </c>
      <c r="G4" s="7" t="n">
        <v>34</v>
      </c>
      <c r="H4" s="27" t="n">
        <v>108.1</v>
      </c>
      <c r="I4" s="27" t="n">
        <v>85.4</v>
      </c>
      <c r="J4" s="7" t="n">
        <f aca="false">B4+C4</f>
        <v>51</v>
      </c>
      <c r="K4" s="18" t="n">
        <f aca="false">B4/C4</f>
        <v>1.55</v>
      </c>
      <c r="L4" s="7" t="n">
        <f aca="false">F4+G4</f>
        <v>80</v>
      </c>
      <c r="M4" s="7" t="n">
        <f aca="false">L4-J4</f>
        <v>29</v>
      </c>
    </row>
    <row r="5" customFormat="false" ht="15" hidden="false" customHeight="false" outlineLevel="0" collapsed="false">
      <c r="A5" s="9" t="s">
        <v>699</v>
      </c>
      <c r="B5" s="7" t="n">
        <v>14</v>
      </c>
      <c r="C5" s="7" t="n">
        <v>8</v>
      </c>
      <c r="D5" s="27" t="n">
        <v>96.6</v>
      </c>
      <c r="E5" s="27" t="n">
        <v>60.1</v>
      </c>
      <c r="F5" s="7" t="n">
        <v>22</v>
      </c>
      <c r="G5" s="7" t="n">
        <v>14</v>
      </c>
      <c r="H5" s="27" t="n">
        <v>102.2</v>
      </c>
      <c r="I5" s="27" t="n">
        <v>69</v>
      </c>
      <c r="J5" s="7" t="n">
        <f aca="false">B5+C5</f>
        <v>22</v>
      </c>
      <c r="K5" s="18" t="n">
        <f aca="false">B5/C5</f>
        <v>1.75</v>
      </c>
      <c r="L5" s="7" t="n">
        <f aca="false">F5+G5</f>
        <v>36</v>
      </c>
      <c r="M5" s="7" t="n">
        <f aca="false">L5-J5</f>
        <v>14</v>
      </c>
    </row>
    <row r="6" customFormat="false" ht="15" hidden="false" customHeight="false" outlineLevel="0" collapsed="false">
      <c r="A6" s="9" t="s">
        <v>698</v>
      </c>
      <c r="B6" s="7" t="n">
        <v>41</v>
      </c>
      <c r="C6" s="7" t="n">
        <v>26</v>
      </c>
      <c r="D6" s="27" t="n">
        <v>61.7</v>
      </c>
      <c r="E6" s="27" t="n">
        <v>44</v>
      </c>
      <c r="F6" s="7" t="n">
        <v>59</v>
      </c>
      <c r="G6" s="7" t="n">
        <v>37</v>
      </c>
      <c r="H6" s="27" t="n">
        <v>66.4</v>
      </c>
      <c r="I6" s="27" t="n">
        <v>47.6</v>
      </c>
      <c r="J6" s="7" t="n">
        <f aca="false">B6+C6</f>
        <v>67</v>
      </c>
      <c r="K6" s="18" t="n">
        <f aca="false">B6/C6</f>
        <v>1.57692307692308</v>
      </c>
      <c r="L6" s="7" t="n">
        <f aca="false">F6+G6</f>
        <v>96</v>
      </c>
      <c r="M6" s="7" t="n">
        <f aca="false">L6-J6</f>
        <v>29</v>
      </c>
    </row>
    <row r="7" customFormat="false" ht="15" hidden="false" customHeight="false" outlineLevel="0" collapsed="false">
      <c r="A7" s="9" t="s">
        <v>695</v>
      </c>
      <c r="B7" s="7" t="n">
        <v>20</v>
      </c>
      <c r="C7" s="7" t="n">
        <v>16</v>
      </c>
      <c r="D7" s="27" t="n">
        <v>29.2</v>
      </c>
      <c r="E7" s="27" t="n">
        <v>28.7</v>
      </c>
      <c r="F7" s="7" t="n">
        <v>33</v>
      </c>
      <c r="G7" s="7" t="n">
        <v>25</v>
      </c>
      <c r="H7" s="27" t="n">
        <v>34.8</v>
      </c>
      <c r="I7" s="27" t="n">
        <v>32.2</v>
      </c>
      <c r="J7" s="7" t="n">
        <f aca="false">B7+C7</f>
        <v>36</v>
      </c>
      <c r="K7" s="18" t="n">
        <f aca="false">B7/C7</f>
        <v>1.25</v>
      </c>
      <c r="L7" s="7" t="n">
        <f aca="false">F7+G7</f>
        <v>58</v>
      </c>
      <c r="M7" s="7" t="n">
        <f aca="false">L7-J7</f>
        <v>22</v>
      </c>
    </row>
    <row r="8" customFormat="false" ht="15" hidden="false" customHeight="false" outlineLevel="0" collapsed="false">
      <c r="A8" s="9" t="s">
        <v>696</v>
      </c>
      <c r="B8" s="7" t="n">
        <v>4</v>
      </c>
      <c r="C8" s="7" t="n">
        <v>4</v>
      </c>
      <c r="D8" s="27" t="n">
        <v>51.6</v>
      </c>
      <c r="E8" s="27" t="n">
        <v>67.6</v>
      </c>
      <c r="F8" s="7" t="n">
        <v>6</v>
      </c>
      <c r="G8" s="7" t="n">
        <v>5</v>
      </c>
      <c r="H8" s="27" t="n">
        <v>62.4</v>
      </c>
      <c r="I8" s="27" t="n">
        <v>64.3</v>
      </c>
      <c r="J8" s="7" t="n">
        <f aca="false">B8+C8</f>
        <v>8</v>
      </c>
      <c r="K8" s="18" t="n">
        <f aca="false">B8/C8</f>
        <v>1</v>
      </c>
      <c r="L8" s="7" t="n">
        <f aca="false">F8+G8</f>
        <v>11</v>
      </c>
      <c r="M8" s="7" t="n">
        <f aca="false">L8-J8</f>
        <v>3</v>
      </c>
    </row>
    <row r="9" customFormat="false" ht="15" hidden="false" customHeight="false" outlineLevel="0" collapsed="false">
      <c r="A9" s="13" t="s">
        <v>825</v>
      </c>
      <c r="B9" s="29" t="n">
        <f aca="false">SUM(B2:B8)</f>
        <v>274</v>
      </c>
      <c r="C9" s="29" t="n">
        <f aca="false">SUM(C2:C8)</f>
        <v>176</v>
      </c>
      <c r="F9" s="29" t="n">
        <f aca="false">SUM(F2:F8)</f>
        <v>404</v>
      </c>
      <c r="G9" s="29" t="n">
        <f aca="false">SUM(G2:G8)</f>
        <v>263</v>
      </c>
      <c r="J9" s="29" t="n">
        <f aca="false">SUM(J2:J8)</f>
        <v>450</v>
      </c>
      <c r="L9" s="29" t="n">
        <f aca="false">SUM(L2:L8)</f>
        <v>667</v>
      </c>
      <c r="M9" s="29" t="n">
        <f aca="false">SUM(M2:M8)</f>
        <v>217</v>
      </c>
    </row>
    <row r="11" customFormat="false" ht="45" hidden="false" customHeight="true" outlineLevel="0" collapsed="false">
      <c r="A11" s="26" t="s">
        <v>826</v>
      </c>
      <c r="B11" s="26"/>
      <c r="C11" s="26"/>
      <c r="D11" s="26"/>
      <c r="E11" s="26"/>
      <c r="F11" s="26"/>
      <c r="G11" s="26"/>
      <c r="H11" s="26"/>
      <c r="I11" s="26"/>
      <c r="J11" s="26"/>
      <c r="K11" s="26"/>
      <c r="L11" s="26"/>
    </row>
  </sheetData>
  <autoFilter ref="A1:M8"/>
  <mergeCells count="1">
    <mergeCell ref="A11:L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9"/>
    <col collapsed="false" customWidth="true" hidden="false" outlineLevel="0" max="3" min="3" style="0" width="12"/>
    <col collapsed="false" customWidth="true" hidden="false" outlineLevel="0" max="4" min="4" style="0" width="28"/>
    <col collapsed="false" customWidth="true" hidden="false" outlineLevel="0" max="5" min="5" style="0" width="12"/>
    <col collapsed="false" customWidth="true" hidden="false" outlineLevel="0" max="6" min="6" style="0" width="52"/>
  </cols>
  <sheetData>
    <row r="1" customFormat="false" ht="45" hidden="false" customHeight="true" outlineLevel="0" collapsed="false">
      <c r="A1" s="3" t="s">
        <v>827</v>
      </c>
      <c r="B1" s="3" t="s">
        <v>564</v>
      </c>
      <c r="C1" s="3" t="s">
        <v>828</v>
      </c>
      <c r="D1" s="3" t="s">
        <v>566</v>
      </c>
      <c r="E1" s="3" t="s">
        <v>829</v>
      </c>
      <c r="F1" s="3" t="s">
        <v>830</v>
      </c>
    </row>
    <row r="2" customFormat="false" ht="15" hidden="false" customHeight="false" outlineLevel="0" collapsed="false">
      <c r="A2" s="5" t="s">
        <v>831</v>
      </c>
      <c r="B2" s="5" t="s">
        <v>574</v>
      </c>
      <c r="C2" s="5" t="n">
        <v>1</v>
      </c>
      <c r="D2" s="5" t="s">
        <v>506</v>
      </c>
      <c r="E2" s="27" t="n">
        <v>11.1</v>
      </c>
      <c r="F2" s="5"/>
    </row>
    <row r="3" customFormat="false" ht="15" hidden="false" customHeight="false" outlineLevel="0" collapsed="false">
      <c r="A3" s="5" t="s">
        <v>831</v>
      </c>
      <c r="B3" s="5" t="s">
        <v>574</v>
      </c>
      <c r="C3" s="5" t="n">
        <v>2</v>
      </c>
      <c r="D3" s="5" t="s">
        <v>598</v>
      </c>
      <c r="E3" s="27" t="n">
        <v>8.4</v>
      </c>
      <c r="F3" s="5"/>
    </row>
    <row r="4" customFormat="false" ht="15" hidden="false" customHeight="false" outlineLevel="0" collapsed="false">
      <c r="A4" s="5" t="s">
        <v>831</v>
      </c>
      <c r="B4" s="5" t="s">
        <v>574</v>
      </c>
      <c r="C4" s="5" t="n">
        <v>3</v>
      </c>
      <c r="D4" s="5" t="s">
        <v>536</v>
      </c>
      <c r="E4" s="27" t="n">
        <v>7</v>
      </c>
      <c r="F4" s="5"/>
    </row>
    <row r="5" customFormat="false" ht="15" hidden="false" customHeight="false" outlineLevel="0" collapsed="false">
      <c r="A5" s="5" t="s">
        <v>831</v>
      </c>
      <c r="B5" s="5" t="s">
        <v>574</v>
      </c>
      <c r="C5" s="5" t="n">
        <v>4</v>
      </c>
      <c r="D5" s="5" t="s">
        <v>504</v>
      </c>
      <c r="E5" s="27" t="n">
        <v>6.1</v>
      </c>
      <c r="F5" s="5"/>
    </row>
    <row r="6" customFormat="false" ht="15" hidden="false" customHeight="false" outlineLevel="0" collapsed="false">
      <c r="A6" s="5" t="s">
        <v>831</v>
      </c>
      <c r="B6" s="5" t="s">
        <v>574</v>
      </c>
      <c r="C6" s="5" t="n">
        <v>5</v>
      </c>
      <c r="D6" s="5" t="s">
        <v>613</v>
      </c>
      <c r="E6" s="27" t="n">
        <v>4.9</v>
      </c>
      <c r="F6" s="5"/>
    </row>
    <row r="7" customFormat="false" ht="15" hidden="false" customHeight="false" outlineLevel="0" collapsed="false">
      <c r="A7" s="5" t="s">
        <v>831</v>
      </c>
      <c r="B7" s="5" t="s">
        <v>586</v>
      </c>
      <c r="C7" s="5" t="n">
        <v>1</v>
      </c>
      <c r="D7" s="5" t="s">
        <v>528</v>
      </c>
      <c r="E7" s="27" t="n">
        <v>29.9</v>
      </c>
      <c r="F7" s="5"/>
    </row>
    <row r="8" customFormat="false" ht="15" hidden="false" customHeight="false" outlineLevel="0" collapsed="false">
      <c r="A8" s="5" t="s">
        <v>831</v>
      </c>
      <c r="B8" s="5" t="s">
        <v>586</v>
      </c>
      <c r="C8" s="5" t="n">
        <v>2</v>
      </c>
      <c r="D8" s="5" t="s">
        <v>731</v>
      </c>
      <c r="E8" s="27" t="n">
        <v>11</v>
      </c>
      <c r="F8" s="5"/>
    </row>
    <row r="9" customFormat="false" ht="15" hidden="false" customHeight="false" outlineLevel="0" collapsed="false">
      <c r="A9" s="5" t="s">
        <v>831</v>
      </c>
      <c r="B9" s="5" t="s">
        <v>586</v>
      </c>
      <c r="C9" s="5" t="n">
        <v>3</v>
      </c>
      <c r="D9" s="5" t="s">
        <v>532</v>
      </c>
      <c r="E9" s="27" t="n">
        <v>6.3</v>
      </c>
      <c r="F9" s="5"/>
    </row>
    <row r="10" customFormat="false" ht="15" hidden="false" customHeight="false" outlineLevel="0" collapsed="false">
      <c r="A10" s="5" t="s">
        <v>831</v>
      </c>
      <c r="B10" s="5" t="s">
        <v>586</v>
      </c>
      <c r="C10" s="5" t="n">
        <v>4</v>
      </c>
      <c r="D10" s="5" t="s">
        <v>598</v>
      </c>
      <c r="E10" s="27" t="n">
        <v>4.2</v>
      </c>
      <c r="F10" s="5"/>
    </row>
    <row r="11" customFormat="false" ht="15" hidden="false" customHeight="false" outlineLevel="0" collapsed="false">
      <c r="A11" s="5" t="s">
        <v>831</v>
      </c>
      <c r="B11" s="5" t="s">
        <v>586</v>
      </c>
      <c r="C11" s="5" t="n">
        <v>5</v>
      </c>
      <c r="D11" s="5" t="s">
        <v>506</v>
      </c>
      <c r="E11" s="27" t="n">
        <v>3.7</v>
      </c>
      <c r="F11" s="5"/>
    </row>
    <row r="12" customFormat="false" ht="15" hidden="false" customHeight="false" outlineLevel="0" collapsed="false">
      <c r="A12" s="5" t="s">
        <v>832</v>
      </c>
      <c r="B12" s="5" t="s">
        <v>574</v>
      </c>
      <c r="C12" s="5"/>
      <c r="D12" s="5" t="s">
        <v>833</v>
      </c>
      <c r="E12" s="27" t="n">
        <v>40.6</v>
      </c>
      <c r="F12" s="5" t="s">
        <v>834</v>
      </c>
    </row>
    <row r="13" customFormat="false" ht="15" hidden="false" customHeight="false" outlineLevel="0" collapsed="false">
      <c r="A13" s="5" t="s">
        <v>832</v>
      </c>
      <c r="B13" s="5" t="s">
        <v>586</v>
      </c>
      <c r="C13" s="5"/>
      <c r="D13" s="5" t="s">
        <v>833</v>
      </c>
      <c r="E13" s="27" t="n">
        <v>15.6</v>
      </c>
      <c r="F13" s="5" t="s">
        <v>834</v>
      </c>
    </row>
    <row r="14" customFormat="false" ht="28.35" hidden="false" customHeight="false" outlineLevel="0" collapsed="false">
      <c r="A14" s="5" t="s">
        <v>835</v>
      </c>
      <c r="B14" s="5" t="s">
        <v>574</v>
      </c>
      <c r="C14" s="5" t="n">
        <v>1</v>
      </c>
      <c r="D14" s="5" t="s">
        <v>506</v>
      </c>
      <c r="E14" s="27" t="n">
        <v>27</v>
      </c>
      <c r="F14" s="5" t="s">
        <v>836</v>
      </c>
    </row>
    <row r="15" customFormat="false" ht="28.35" hidden="false" customHeight="false" outlineLevel="0" collapsed="false">
      <c r="A15" s="5" t="s">
        <v>835</v>
      </c>
      <c r="B15" s="5" t="s">
        <v>574</v>
      </c>
      <c r="C15" s="5" t="n">
        <v>2</v>
      </c>
      <c r="D15" s="5" t="s">
        <v>598</v>
      </c>
      <c r="E15" s="27" t="n">
        <v>21</v>
      </c>
      <c r="F15" s="5" t="s">
        <v>836</v>
      </c>
    </row>
    <row r="16" customFormat="false" ht="28.35" hidden="false" customHeight="false" outlineLevel="0" collapsed="false">
      <c r="A16" s="5" t="s">
        <v>835</v>
      </c>
      <c r="B16" s="5" t="s">
        <v>574</v>
      </c>
      <c r="C16" s="5" t="n">
        <v>3</v>
      </c>
      <c r="D16" s="5" t="s">
        <v>504</v>
      </c>
      <c r="E16" s="27" t="n">
        <v>15</v>
      </c>
      <c r="F16" s="5" t="s">
        <v>836</v>
      </c>
    </row>
    <row r="17" customFormat="false" ht="28.35" hidden="false" customHeight="false" outlineLevel="0" collapsed="false">
      <c r="A17" s="5" t="s">
        <v>835</v>
      </c>
      <c r="B17" s="5" t="s">
        <v>574</v>
      </c>
      <c r="C17" s="5" t="n">
        <v>4</v>
      </c>
      <c r="D17" s="5" t="s">
        <v>510</v>
      </c>
      <c r="E17" s="27" t="n">
        <v>11</v>
      </c>
      <c r="F17" s="5" t="s">
        <v>836</v>
      </c>
    </row>
    <row r="18" customFormat="false" ht="28.35" hidden="false" customHeight="false" outlineLevel="0" collapsed="false">
      <c r="A18" s="5" t="s">
        <v>835</v>
      </c>
      <c r="B18" s="5" t="s">
        <v>574</v>
      </c>
      <c r="C18" s="5" t="n">
        <v>5</v>
      </c>
      <c r="D18" s="5" t="s">
        <v>520</v>
      </c>
      <c r="E18" s="27" t="n">
        <v>10</v>
      </c>
      <c r="F18" s="5" t="s">
        <v>836</v>
      </c>
    </row>
    <row r="19" customFormat="false" ht="28.35" hidden="false" customHeight="false" outlineLevel="0" collapsed="false">
      <c r="A19" s="5" t="s">
        <v>835</v>
      </c>
      <c r="B19" s="5" t="s">
        <v>574</v>
      </c>
      <c r="C19" s="5" t="n">
        <v>6</v>
      </c>
      <c r="D19" s="5" t="s">
        <v>630</v>
      </c>
      <c r="E19" s="27" t="n">
        <v>9</v>
      </c>
      <c r="F19" s="5" t="s">
        <v>836</v>
      </c>
    </row>
    <row r="20" customFormat="false" ht="28.35" hidden="false" customHeight="false" outlineLevel="0" collapsed="false">
      <c r="A20" s="5" t="s">
        <v>835</v>
      </c>
      <c r="B20" s="5" t="s">
        <v>574</v>
      </c>
      <c r="C20" s="5" t="n">
        <v>7</v>
      </c>
      <c r="D20" s="5" t="s">
        <v>540</v>
      </c>
      <c r="E20" s="27" t="n">
        <v>7</v>
      </c>
      <c r="F20" s="5" t="s">
        <v>836</v>
      </c>
    </row>
    <row r="21" customFormat="false" ht="28.35" hidden="false" customHeight="false" outlineLevel="0" collapsed="false">
      <c r="A21" s="5" t="s">
        <v>835</v>
      </c>
      <c r="B21" s="5" t="s">
        <v>586</v>
      </c>
      <c r="C21" s="5" t="n">
        <v>1</v>
      </c>
      <c r="D21" s="5" t="s">
        <v>598</v>
      </c>
      <c r="E21" s="27" t="n">
        <v>27</v>
      </c>
      <c r="F21" s="5" t="s">
        <v>836</v>
      </c>
    </row>
    <row r="22" customFormat="false" ht="28.35" hidden="false" customHeight="false" outlineLevel="0" collapsed="false">
      <c r="A22" s="5" t="s">
        <v>835</v>
      </c>
      <c r="B22" s="5" t="s">
        <v>586</v>
      </c>
      <c r="C22" s="5" t="n">
        <v>2</v>
      </c>
      <c r="D22" s="5" t="s">
        <v>506</v>
      </c>
      <c r="E22" s="27" t="n">
        <v>24</v>
      </c>
      <c r="F22" s="5" t="s">
        <v>836</v>
      </c>
    </row>
    <row r="23" customFormat="false" ht="28.35" hidden="false" customHeight="false" outlineLevel="0" collapsed="false">
      <c r="A23" s="5" t="s">
        <v>835</v>
      </c>
      <c r="B23" s="5" t="s">
        <v>586</v>
      </c>
      <c r="C23" s="5" t="n">
        <v>3</v>
      </c>
      <c r="D23" s="5" t="s">
        <v>510</v>
      </c>
      <c r="E23" s="27" t="n">
        <v>19</v>
      </c>
      <c r="F23" s="5" t="s">
        <v>836</v>
      </c>
    </row>
    <row r="24" customFormat="false" ht="28.35" hidden="false" customHeight="false" outlineLevel="0" collapsed="false">
      <c r="A24" s="5" t="s">
        <v>835</v>
      </c>
      <c r="B24" s="5" t="s">
        <v>586</v>
      </c>
      <c r="C24" s="5" t="n">
        <v>4</v>
      </c>
      <c r="D24" s="5" t="s">
        <v>504</v>
      </c>
      <c r="E24" s="27" t="n">
        <v>13</v>
      </c>
      <c r="F24" s="5" t="s">
        <v>836</v>
      </c>
    </row>
    <row r="25" customFormat="false" ht="28.35" hidden="false" customHeight="false" outlineLevel="0" collapsed="false">
      <c r="A25" s="5" t="s">
        <v>835</v>
      </c>
      <c r="B25" s="5" t="s">
        <v>586</v>
      </c>
      <c r="C25" s="5" t="n">
        <v>5</v>
      </c>
      <c r="D25" s="5" t="s">
        <v>630</v>
      </c>
      <c r="E25" s="27" t="n">
        <v>8</v>
      </c>
      <c r="F25" s="5" t="s">
        <v>836</v>
      </c>
    </row>
    <row r="26" customFormat="false" ht="28.35" hidden="false" customHeight="false" outlineLevel="0" collapsed="false">
      <c r="A26" s="5" t="s">
        <v>835</v>
      </c>
      <c r="B26" s="5" t="s">
        <v>586</v>
      </c>
      <c r="C26" s="5" t="n">
        <v>6</v>
      </c>
      <c r="D26" s="5" t="s">
        <v>540</v>
      </c>
      <c r="E26" s="27" t="n">
        <v>6</v>
      </c>
      <c r="F26" s="5" t="s">
        <v>836</v>
      </c>
    </row>
    <row r="27" customFormat="false" ht="28.35" hidden="false" customHeight="false" outlineLevel="0" collapsed="false">
      <c r="A27" s="5" t="s">
        <v>835</v>
      </c>
      <c r="B27" s="5" t="s">
        <v>586</v>
      </c>
      <c r="C27" s="5" t="n">
        <v>7</v>
      </c>
      <c r="D27" s="5" t="s">
        <v>520</v>
      </c>
      <c r="E27" s="27" t="n">
        <v>3</v>
      </c>
      <c r="F27" s="5" t="s">
        <v>836</v>
      </c>
    </row>
    <row r="28" customFormat="false" ht="15" hidden="false" customHeight="false" outlineLevel="0" collapsed="false">
      <c r="A28" s="38" t="s">
        <v>837</v>
      </c>
      <c r="B28" s="31" t="s">
        <v>574</v>
      </c>
      <c r="E28" s="39" t="n">
        <f aca="false">SUMIFS(E2:E27,A2:A27,"Tobacco-associated cancers - composition",B2:B27,"Male")</f>
        <v>100</v>
      </c>
    </row>
    <row r="29" customFormat="false" ht="15" hidden="false" customHeight="false" outlineLevel="0" collapsed="false">
      <c r="A29" s="38" t="s">
        <v>837</v>
      </c>
      <c r="B29" s="31" t="s">
        <v>586</v>
      </c>
      <c r="E29" s="39" t="n">
        <f aca="false">SUMIFS(E2:E27,A2:A27,"Tobacco-associated cancers - composition",B2:B27,"Female")</f>
        <v>100</v>
      </c>
    </row>
    <row r="31" customFormat="false" ht="45" hidden="false" customHeight="true" outlineLevel="0" collapsed="false">
      <c r="A31" s="26" t="s">
        <v>838</v>
      </c>
      <c r="B31" s="26"/>
      <c r="C31" s="26"/>
      <c r="D31" s="26"/>
      <c r="E31" s="26"/>
      <c r="F31" s="26"/>
    </row>
  </sheetData>
  <autoFilter ref="A1:F27"/>
  <mergeCells count="1">
    <mergeCell ref="A31:F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16"/>
    <col collapsed="false" customWidth="true" hidden="false" outlineLevel="0" max="4" min="4" style="0" width="14"/>
    <col collapsed="false" customWidth="true" hidden="false" outlineLevel="0" max="5" min="5" style="0" width="12"/>
    <col collapsed="false" customWidth="true" hidden="false" outlineLevel="0" max="6" min="6" style="0" width="18"/>
    <col collapsed="false" customWidth="true" hidden="false" outlineLevel="0" max="7" min="7" style="0" width="16"/>
  </cols>
  <sheetData>
    <row r="1" customFormat="false" ht="45" hidden="false" customHeight="true" outlineLevel="0" collapsed="false">
      <c r="A1" s="3" t="s">
        <v>84</v>
      </c>
      <c r="B1" s="3" t="s">
        <v>839</v>
      </c>
      <c r="C1" s="3" t="s">
        <v>840</v>
      </c>
      <c r="D1" s="8" t="s">
        <v>841</v>
      </c>
      <c r="E1" s="8" t="s">
        <v>842</v>
      </c>
      <c r="F1" s="8" t="s">
        <v>843</v>
      </c>
      <c r="G1" s="8" t="s">
        <v>844</v>
      </c>
    </row>
    <row r="2" customFormat="false" ht="15" hidden="false" customHeight="false" outlineLevel="0" collapsed="false">
      <c r="A2" s="6" t="n">
        <v>2020</v>
      </c>
      <c r="B2" s="7" t="n">
        <v>54961</v>
      </c>
      <c r="C2" s="7" t="n">
        <v>61160</v>
      </c>
      <c r="D2" s="7" t="n">
        <f aca="false">B2+C2</f>
        <v>116121</v>
      </c>
      <c r="E2" s="28" t="n">
        <f aca="false">C2/D2</f>
        <v>0.526691985084524</v>
      </c>
      <c r="F2" s="7" t="n">
        <f aca="false">'India Trend 2015-2025'!D18</f>
        <v>1392179</v>
      </c>
      <c r="G2" s="17" t="n">
        <f aca="false">D2/F2</f>
        <v>0.0834095328258794</v>
      </c>
    </row>
    <row r="3" customFormat="false" ht="15" hidden="false" customHeight="false" outlineLevel="0" collapsed="false">
      <c r="A3" s="6" t="n">
        <v>2025</v>
      </c>
      <c r="B3" s="7" t="n">
        <v>61703</v>
      </c>
      <c r="C3" s="7" t="n">
        <v>68762</v>
      </c>
      <c r="D3" s="7" t="n">
        <f aca="false">B3+C3</f>
        <v>130465</v>
      </c>
      <c r="E3" s="28" t="n">
        <f aca="false">C3/D3</f>
        <v>0.527053232667765</v>
      </c>
      <c r="F3" s="7" t="n">
        <f aca="false">'India Trend 2015-2025'!E18</f>
        <v>1569793</v>
      </c>
      <c r="G3" s="17" t="n">
        <f aca="false">D3/F3</f>
        <v>0.0831096838882579</v>
      </c>
    </row>
    <row r="4" customFormat="false" ht="15" hidden="false" customHeight="false" outlineLevel="0" collapsed="false">
      <c r="A4" s="13" t="s">
        <v>845</v>
      </c>
      <c r="B4" s="40" t="n">
        <f aca="false">B3/B2-1</f>
        <v>0.122668801513801</v>
      </c>
      <c r="C4" s="40" t="n">
        <f aca="false">C3/C2-1</f>
        <v>0.124296926095487</v>
      </c>
      <c r="D4" s="40" t="n">
        <f aca="false">D3/D2-1</f>
        <v>0.123526321681694</v>
      </c>
      <c r="E4" s="20"/>
      <c r="F4" s="40" t="n">
        <f aca="false">F3/F2-1</f>
        <v>0.127579858624502</v>
      </c>
      <c r="G4" s="20"/>
    </row>
    <row r="5" customFormat="false" ht="15" hidden="false" customHeight="false" outlineLevel="0" collapsed="false">
      <c r="A5" s="13" t="s">
        <v>846</v>
      </c>
      <c r="B5" s="41" t="n">
        <f aca="false">(B3/B2)^(1/5)-1</f>
        <v>0.0234115895285925</v>
      </c>
      <c r="C5" s="41" t="n">
        <f aca="false">(C3/C2)^(1/5)-1</f>
        <v>0.0237082533055957</v>
      </c>
      <c r="D5" s="41" t="n">
        <f aca="false">(D3/D2)^(1/5)-1</f>
        <v>0.0235678828305013</v>
      </c>
      <c r="E5" s="20"/>
      <c r="F5" s="41" t="n">
        <f aca="false">(F3/F2)^(1/5)-1</f>
        <v>0.0243053992292244</v>
      </c>
      <c r="G5" s="20"/>
    </row>
    <row r="7" customFormat="false" ht="105" hidden="false" customHeight="true" outlineLevel="0" collapsed="false">
      <c r="A7" s="26" t="s">
        <v>847</v>
      </c>
      <c r="B7" s="26"/>
      <c r="C7" s="26"/>
      <c r="D7" s="26"/>
      <c r="E7" s="26"/>
      <c r="F7" s="26"/>
      <c r="G7" s="26"/>
    </row>
  </sheetData>
  <mergeCells count="1">
    <mergeCell ref="A7:G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52"/>
    <col collapsed="false" customWidth="true" hidden="false" outlineLevel="0" max="4" min="3" style="0" width="14"/>
    <col collapsed="false" customWidth="true" hidden="false" outlineLevel="0" max="5" min="5" style="0" width="15"/>
    <col collapsed="false" customWidth="true" hidden="false" outlineLevel="0" max="6" min="6" style="0" width="24"/>
    <col collapsed="false" customWidth="true" hidden="false" outlineLevel="0" max="7" min="7" style="0" width="34"/>
  </cols>
  <sheetData>
    <row r="1" customFormat="false" ht="45" hidden="false" customHeight="true" outlineLevel="0" collapsed="false">
      <c r="A1" s="3" t="s">
        <v>848</v>
      </c>
      <c r="B1" s="3" t="s">
        <v>849</v>
      </c>
      <c r="C1" s="3" t="s">
        <v>574</v>
      </c>
      <c r="D1" s="3" t="s">
        <v>586</v>
      </c>
      <c r="E1" s="3" t="s">
        <v>850</v>
      </c>
      <c r="F1" s="3" t="s">
        <v>129</v>
      </c>
      <c r="G1" s="3" t="s">
        <v>851</v>
      </c>
    </row>
    <row r="2" customFormat="false" ht="15" hidden="false" customHeight="false" outlineLevel="0" collapsed="false">
      <c r="A2" s="5" t="s">
        <v>852</v>
      </c>
      <c r="B2" s="5" t="s">
        <v>853</v>
      </c>
      <c r="C2" s="7" t="n">
        <v>58243056</v>
      </c>
      <c r="D2" s="7" t="n">
        <v>54131277</v>
      </c>
      <c r="E2" s="7" t="n">
        <v>112374333</v>
      </c>
      <c r="F2" s="5" t="s">
        <v>854</v>
      </c>
      <c r="G2" s="5" t="s">
        <v>855</v>
      </c>
    </row>
    <row r="3" customFormat="false" ht="15" hidden="false" customHeight="false" outlineLevel="0" collapsed="false">
      <c r="A3" s="5" t="s">
        <v>852</v>
      </c>
      <c r="B3" s="5" t="s">
        <v>856</v>
      </c>
      <c r="C3" s="5"/>
      <c r="D3" s="5"/>
      <c r="E3" s="7" t="n">
        <v>929</v>
      </c>
      <c r="F3" s="5" t="s">
        <v>857</v>
      </c>
      <c r="G3" s="5" t="s">
        <v>855</v>
      </c>
    </row>
    <row r="4" customFormat="false" ht="15" hidden="false" customHeight="false" outlineLevel="0" collapsed="false">
      <c r="A4" s="5" t="s">
        <v>852</v>
      </c>
      <c r="B4" s="5" t="s">
        <v>858</v>
      </c>
      <c r="C4" s="27" t="n">
        <v>88.4</v>
      </c>
      <c r="D4" s="27" t="n">
        <v>75.9</v>
      </c>
      <c r="E4" s="27" t="n">
        <v>82.3</v>
      </c>
      <c r="F4" s="5" t="s">
        <v>249</v>
      </c>
      <c r="G4" s="5" t="s">
        <v>855</v>
      </c>
    </row>
    <row r="5" customFormat="false" ht="28.35" hidden="false" customHeight="false" outlineLevel="0" collapsed="false">
      <c r="A5" s="5" t="s">
        <v>859</v>
      </c>
      <c r="B5" s="5" t="s">
        <v>860</v>
      </c>
      <c r="C5" s="27" t="n">
        <v>65.3</v>
      </c>
      <c r="D5" s="27" t="n">
        <v>69.3</v>
      </c>
      <c r="E5" s="5"/>
      <c r="F5" s="5" t="s">
        <v>861</v>
      </c>
      <c r="G5" s="5" t="s">
        <v>862</v>
      </c>
    </row>
    <row r="6" customFormat="false" ht="15" hidden="false" customHeight="false" outlineLevel="0" collapsed="false">
      <c r="A6" s="5" t="s">
        <v>859</v>
      </c>
      <c r="B6" s="5" t="s">
        <v>863</v>
      </c>
      <c r="C6" s="5"/>
      <c r="D6" s="5"/>
      <c r="E6" s="27" t="n">
        <v>63.1</v>
      </c>
      <c r="F6" s="5" t="s">
        <v>249</v>
      </c>
      <c r="G6" s="5" t="s">
        <v>864</v>
      </c>
    </row>
    <row r="7" customFormat="false" ht="15" hidden="false" customHeight="false" outlineLevel="0" collapsed="false">
      <c r="A7" s="5" t="s">
        <v>859</v>
      </c>
      <c r="B7" s="5" t="s">
        <v>865</v>
      </c>
      <c r="C7" s="5"/>
      <c r="D7" s="5"/>
      <c r="E7" s="27" t="n">
        <v>9.7</v>
      </c>
      <c r="F7" s="5" t="s">
        <v>249</v>
      </c>
      <c r="G7" s="5" t="s">
        <v>866</v>
      </c>
    </row>
    <row r="8" customFormat="false" ht="28.35" hidden="false" customHeight="false" outlineLevel="0" collapsed="false">
      <c r="A8" s="5" t="s">
        <v>867</v>
      </c>
      <c r="B8" s="5" t="s">
        <v>868</v>
      </c>
      <c r="C8" s="27" t="n">
        <v>35.5</v>
      </c>
      <c r="D8" s="27" t="n">
        <v>17</v>
      </c>
      <c r="E8" s="27" t="n">
        <v>26.6</v>
      </c>
      <c r="F8" s="5" t="s">
        <v>249</v>
      </c>
      <c r="G8" s="5" t="s">
        <v>869</v>
      </c>
    </row>
    <row r="9" customFormat="false" ht="15" hidden="false" customHeight="false" outlineLevel="0" collapsed="false">
      <c r="A9" s="5" t="s">
        <v>867</v>
      </c>
      <c r="B9" s="5" t="s">
        <v>870</v>
      </c>
      <c r="C9" s="27" t="n">
        <v>13.9</v>
      </c>
      <c r="D9" s="27" t="n">
        <v>0.4</v>
      </c>
      <c r="E9" s="5"/>
      <c r="F9" s="5" t="s">
        <v>249</v>
      </c>
      <c r="G9" s="5" t="s">
        <v>871</v>
      </c>
    </row>
    <row r="10" customFormat="false" ht="15" hidden="false" customHeight="false" outlineLevel="0" collapsed="false">
      <c r="A10" s="5" t="s">
        <v>867</v>
      </c>
      <c r="B10" s="5" t="s">
        <v>872</v>
      </c>
      <c r="C10" s="27" t="n">
        <v>89.9</v>
      </c>
      <c r="D10" s="27" t="n">
        <v>89.5</v>
      </c>
      <c r="E10" s="5"/>
      <c r="F10" s="5" t="s">
        <v>249</v>
      </c>
      <c r="G10" s="5" t="s">
        <v>873</v>
      </c>
    </row>
    <row r="11" customFormat="false" ht="15" hidden="false" customHeight="false" outlineLevel="0" collapsed="false">
      <c r="A11" s="5" t="s">
        <v>867</v>
      </c>
      <c r="B11" s="5" t="s">
        <v>874</v>
      </c>
      <c r="C11" s="27" t="n">
        <v>52.6</v>
      </c>
      <c r="D11" s="27" t="n">
        <v>55.4</v>
      </c>
      <c r="E11" s="5"/>
      <c r="F11" s="5" t="s">
        <v>249</v>
      </c>
      <c r="G11" s="5" t="s">
        <v>873</v>
      </c>
    </row>
    <row r="12" customFormat="false" ht="15" hidden="false" customHeight="false" outlineLevel="0" collapsed="false">
      <c r="A12" s="5" t="s">
        <v>867</v>
      </c>
      <c r="B12" s="5" t="s">
        <v>875</v>
      </c>
      <c r="C12" s="5"/>
      <c r="D12" s="5"/>
      <c r="E12" s="27" t="n">
        <v>79.7</v>
      </c>
      <c r="F12" s="5" t="s">
        <v>249</v>
      </c>
      <c r="G12" s="5" t="s">
        <v>873</v>
      </c>
    </row>
    <row r="13" customFormat="false" ht="15" hidden="false" customHeight="false" outlineLevel="0" collapsed="false">
      <c r="A13" s="5" t="s">
        <v>867</v>
      </c>
      <c r="B13" s="5" t="s">
        <v>876</v>
      </c>
      <c r="C13" s="5"/>
      <c r="D13" s="5"/>
      <c r="E13" s="27" t="n">
        <v>26.6</v>
      </c>
      <c r="F13" s="5" t="s">
        <v>249</v>
      </c>
      <c r="G13" s="5" t="s">
        <v>873</v>
      </c>
    </row>
    <row r="14" customFormat="false" ht="15" hidden="false" customHeight="false" outlineLevel="0" collapsed="false">
      <c r="A14" s="5" t="s">
        <v>867</v>
      </c>
      <c r="B14" s="5" t="s">
        <v>877</v>
      </c>
      <c r="C14" s="27" t="n">
        <v>24.7</v>
      </c>
      <c r="D14" s="27" t="n">
        <v>23.4</v>
      </c>
      <c r="E14" s="5"/>
      <c r="F14" s="5" t="s">
        <v>249</v>
      </c>
      <c r="G14" s="5" t="s">
        <v>873</v>
      </c>
    </row>
    <row r="15" customFormat="false" ht="15" hidden="false" customHeight="false" outlineLevel="0" collapsed="false">
      <c r="A15" s="5" t="s">
        <v>878</v>
      </c>
      <c r="B15" s="5" t="s">
        <v>879</v>
      </c>
      <c r="C15" s="27" t="n">
        <v>24.4</v>
      </c>
      <c r="D15" s="27" t="n">
        <v>23.1</v>
      </c>
      <c r="E15" s="5"/>
      <c r="F15" s="5" t="s">
        <v>249</v>
      </c>
      <c r="G15" s="5" t="s">
        <v>873</v>
      </c>
    </row>
    <row r="16" customFormat="false" ht="15" hidden="false" customHeight="false" outlineLevel="0" collapsed="false">
      <c r="A16" s="5" t="s">
        <v>878</v>
      </c>
      <c r="B16" s="5" t="s">
        <v>880</v>
      </c>
      <c r="C16" s="27" t="n">
        <v>13.6</v>
      </c>
      <c r="D16" s="27" t="n">
        <v>12.4</v>
      </c>
      <c r="E16" s="5"/>
      <c r="F16" s="5" t="s">
        <v>249</v>
      </c>
      <c r="G16" s="5" t="s">
        <v>873</v>
      </c>
    </row>
    <row r="17" customFormat="false" ht="28.35" hidden="false" customHeight="false" outlineLevel="0" collapsed="false">
      <c r="A17" s="31" t="s">
        <v>323</v>
      </c>
      <c r="B17" s="31" t="s">
        <v>881</v>
      </c>
      <c r="E17" s="39" t="n">
        <f aca="false">D2/C2*1000</f>
        <v>929.403103436056</v>
      </c>
    </row>
    <row r="19" customFormat="false" ht="45" hidden="false" customHeight="true" outlineLevel="0" collapsed="false">
      <c r="A19" s="26" t="s">
        <v>882</v>
      </c>
      <c r="B19" s="26"/>
      <c r="C19" s="26"/>
      <c r="D19" s="26"/>
      <c r="E19" s="26"/>
      <c r="F19" s="26"/>
      <c r="G19" s="26"/>
    </row>
  </sheetData>
  <autoFilter ref="A1:G16"/>
  <mergeCells count="1">
    <mergeCell ref="A19:G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70"/>
    <col collapsed="false" customWidth="true" hidden="false" outlineLevel="0" max="3" min="3" style="0" width="30"/>
    <col collapsed="false" customWidth="true" hidden="false" outlineLevel="0" max="4" min="4" style="0" width="40"/>
    <col collapsed="false" customWidth="true" hidden="false" outlineLevel="0" max="5" min="5" style="0" width="34"/>
  </cols>
  <sheetData>
    <row r="1" customFormat="false" ht="45" hidden="false" customHeight="true" outlineLevel="0" collapsed="false">
      <c r="A1" s="3" t="s">
        <v>883</v>
      </c>
      <c r="B1" s="3" t="s">
        <v>884</v>
      </c>
      <c r="C1" s="3" t="s">
        <v>885</v>
      </c>
      <c r="D1" s="3" t="s">
        <v>886</v>
      </c>
      <c r="E1" s="3" t="s">
        <v>851</v>
      </c>
    </row>
    <row r="2" customFormat="false" ht="15" hidden="false" customHeight="false" outlineLevel="0" collapsed="false">
      <c r="A2" s="5" t="s">
        <v>887</v>
      </c>
      <c r="B2" s="5" t="s">
        <v>888</v>
      </c>
      <c r="C2" s="7" t="n">
        <v>10668</v>
      </c>
      <c r="D2" s="5"/>
      <c r="E2" s="5" t="s">
        <v>889</v>
      </c>
    </row>
    <row r="3" customFormat="false" ht="28.35" hidden="false" customHeight="false" outlineLevel="0" collapsed="false">
      <c r="A3" s="5" t="s">
        <v>887</v>
      </c>
      <c r="B3" s="5" t="s">
        <v>890</v>
      </c>
      <c r="C3" s="7" t="n">
        <v>2366</v>
      </c>
      <c r="D3" s="5"/>
      <c r="E3" s="5" t="s">
        <v>891</v>
      </c>
    </row>
    <row r="4" customFormat="false" ht="15" hidden="false" customHeight="false" outlineLevel="0" collapsed="false">
      <c r="A4" s="5" t="s">
        <v>887</v>
      </c>
      <c r="B4" s="5" t="s">
        <v>892</v>
      </c>
      <c r="C4" s="7" t="n">
        <v>401</v>
      </c>
      <c r="D4" s="5"/>
      <c r="E4" s="5" t="s">
        <v>891</v>
      </c>
    </row>
    <row r="5" customFormat="false" ht="15" hidden="false" customHeight="false" outlineLevel="0" collapsed="false">
      <c r="A5" s="5" t="s">
        <v>887</v>
      </c>
      <c r="B5" s="5" t="s">
        <v>893</v>
      </c>
      <c r="C5" s="7" t="n">
        <v>23</v>
      </c>
      <c r="D5" s="5"/>
      <c r="E5" s="5" t="s">
        <v>891</v>
      </c>
    </row>
    <row r="6" customFormat="false" ht="15" hidden="false" customHeight="false" outlineLevel="0" collapsed="false">
      <c r="A6" s="5" t="s">
        <v>894</v>
      </c>
      <c r="B6" s="5" t="s">
        <v>895</v>
      </c>
      <c r="C6" s="7" t="n">
        <v>57</v>
      </c>
      <c r="D6" s="5"/>
      <c r="E6" s="5" t="s">
        <v>896</v>
      </c>
    </row>
    <row r="7" customFormat="false" ht="15" hidden="false" customHeight="false" outlineLevel="0" collapsed="false">
      <c r="A7" s="5" t="s">
        <v>897</v>
      </c>
      <c r="B7" s="5" t="s">
        <v>898</v>
      </c>
      <c r="C7" s="5" t="s">
        <v>899</v>
      </c>
      <c r="D7" s="5" t="s">
        <v>900</v>
      </c>
      <c r="E7" s="5" t="s">
        <v>901</v>
      </c>
    </row>
    <row r="8" customFormat="false" ht="28.35" hidden="false" customHeight="false" outlineLevel="0" collapsed="false">
      <c r="A8" s="5" t="s">
        <v>897</v>
      </c>
      <c r="B8" s="5" t="s">
        <v>902</v>
      </c>
      <c r="C8" s="5" t="s">
        <v>903</v>
      </c>
      <c r="D8" s="5" t="s">
        <v>904</v>
      </c>
      <c r="E8" s="5" t="s">
        <v>905</v>
      </c>
    </row>
    <row r="9" customFormat="false" ht="15" hidden="false" customHeight="false" outlineLevel="0" collapsed="false">
      <c r="A9" s="5" t="s">
        <v>897</v>
      </c>
      <c r="B9" s="5" t="s">
        <v>906</v>
      </c>
      <c r="C9" s="5" t="s">
        <v>907</v>
      </c>
      <c r="D9" s="5" t="s">
        <v>908</v>
      </c>
      <c r="E9" s="5" t="s">
        <v>905</v>
      </c>
    </row>
    <row r="10" customFormat="false" ht="15" hidden="false" customHeight="false" outlineLevel="0" collapsed="false">
      <c r="A10" s="5" t="s">
        <v>897</v>
      </c>
      <c r="B10" s="5" t="s">
        <v>909</v>
      </c>
      <c r="C10" s="5" t="s">
        <v>910</v>
      </c>
      <c r="D10" s="5" t="s">
        <v>911</v>
      </c>
      <c r="E10" s="5" t="s">
        <v>905</v>
      </c>
    </row>
    <row r="11" customFormat="false" ht="41.75" hidden="false" customHeight="false" outlineLevel="0" collapsed="false">
      <c r="A11" s="5" t="s">
        <v>912</v>
      </c>
      <c r="B11" s="5" t="s">
        <v>913</v>
      </c>
      <c r="C11" s="5" t="s">
        <v>914</v>
      </c>
      <c r="D11" s="5"/>
      <c r="E11" s="5" t="s">
        <v>915</v>
      </c>
    </row>
    <row r="12" customFormat="false" ht="15" hidden="false" customHeight="false" outlineLevel="0" collapsed="false">
      <c r="A12" s="5" t="s">
        <v>916</v>
      </c>
      <c r="B12" s="5" t="s">
        <v>917</v>
      </c>
      <c r="C12" s="5" t="s">
        <v>918</v>
      </c>
      <c r="D12" s="5" t="s">
        <v>919</v>
      </c>
      <c r="E12" s="5" t="s">
        <v>920</v>
      </c>
    </row>
    <row r="13" customFormat="false" ht="15" hidden="false" customHeight="false" outlineLevel="0" collapsed="false">
      <c r="A13" s="5" t="s">
        <v>916</v>
      </c>
      <c r="B13" s="5" t="s">
        <v>921</v>
      </c>
      <c r="C13" s="5" t="s">
        <v>918</v>
      </c>
      <c r="D13" s="5"/>
      <c r="E13" s="5" t="s">
        <v>920</v>
      </c>
    </row>
    <row r="14" customFormat="false" ht="15" hidden="false" customHeight="false" outlineLevel="0" collapsed="false">
      <c r="A14" s="5" t="s">
        <v>916</v>
      </c>
      <c r="B14" s="5" t="s">
        <v>922</v>
      </c>
      <c r="C14" s="5" t="s">
        <v>918</v>
      </c>
      <c r="D14" s="5"/>
      <c r="E14" s="5" t="s">
        <v>920</v>
      </c>
    </row>
    <row r="15" customFormat="false" ht="15" hidden="false" customHeight="false" outlineLevel="0" collapsed="false">
      <c r="A15" s="5" t="s">
        <v>916</v>
      </c>
      <c r="B15" s="5" t="s">
        <v>923</v>
      </c>
      <c r="C15" s="5" t="s">
        <v>918</v>
      </c>
      <c r="D15" s="5"/>
      <c r="E15" s="5" t="s">
        <v>920</v>
      </c>
    </row>
    <row r="16" customFormat="false" ht="15" hidden="false" customHeight="false" outlineLevel="0" collapsed="false">
      <c r="A16" s="5" t="s">
        <v>916</v>
      </c>
      <c r="B16" s="5" t="s">
        <v>898</v>
      </c>
      <c r="C16" s="5" t="s">
        <v>918</v>
      </c>
      <c r="D16" s="5"/>
      <c r="E16" s="5" t="s">
        <v>920</v>
      </c>
    </row>
  </sheetData>
  <autoFilter ref="A1:E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6"/>
    <col collapsed="false" customWidth="true" hidden="false" outlineLevel="0" max="3" min="3" style="0" width="130"/>
  </cols>
  <sheetData>
    <row r="1" customFormat="false" ht="45" hidden="false" customHeight="true" outlineLevel="0" collapsed="false">
      <c r="A1" s="3" t="s">
        <v>322</v>
      </c>
      <c r="B1" s="3" t="s">
        <v>126</v>
      </c>
      <c r="C1" s="3" t="s">
        <v>830</v>
      </c>
    </row>
    <row r="2" customFormat="false" ht="41.75" hidden="false" customHeight="false" outlineLevel="0" collapsed="false">
      <c r="A2" s="5" t="n">
        <v>1</v>
      </c>
      <c r="B2" s="9" t="s">
        <v>924</v>
      </c>
      <c r="C2" s="5" t="s">
        <v>925</v>
      </c>
    </row>
    <row r="3" customFormat="false" ht="41.75" hidden="false" customHeight="false" outlineLevel="0" collapsed="false">
      <c r="A3" s="5" t="n">
        <v>2</v>
      </c>
      <c r="B3" s="9" t="s">
        <v>926</v>
      </c>
      <c r="C3" s="5" t="s">
        <v>927</v>
      </c>
    </row>
    <row r="4" customFormat="false" ht="28.35" hidden="false" customHeight="false" outlineLevel="0" collapsed="false">
      <c r="A4" s="5" t="n">
        <v>3</v>
      </c>
      <c r="B4" s="9" t="s">
        <v>928</v>
      </c>
      <c r="C4" s="5" t="s">
        <v>929</v>
      </c>
    </row>
    <row r="5" customFormat="false" ht="41.75" hidden="false" customHeight="false" outlineLevel="0" collapsed="false">
      <c r="A5" s="5" t="n">
        <v>4</v>
      </c>
      <c r="B5" s="9" t="s">
        <v>930</v>
      </c>
      <c r="C5" s="5" t="s">
        <v>931</v>
      </c>
    </row>
    <row r="6" customFormat="false" ht="28.35" hidden="false" customHeight="false" outlineLevel="0" collapsed="false">
      <c r="A6" s="5" t="n">
        <v>5</v>
      </c>
      <c r="B6" s="9" t="s">
        <v>932</v>
      </c>
      <c r="C6" s="5" t="s">
        <v>933</v>
      </c>
    </row>
    <row r="7" customFormat="false" ht="28.35" hidden="false" customHeight="false" outlineLevel="0" collapsed="false">
      <c r="A7" s="5" t="n">
        <v>6</v>
      </c>
      <c r="B7" s="9" t="s">
        <v>934</v>
      </c>
      <c r="C7" s="5" t="s">
        <v>935</v>
      </c>
    </row>
    <row r="8" customFormat="false" ht="28.35" hidden="false" customHeight="false" outlineLevel="0" collapsed="false">
      <c r="A8" s="5" t="n">
        <v>7</v>
      </c>
      <c r="B8" s="9" t="s">
        <v>936</v>
      </c>
      <c r="C8" s="5" t="s">
        <v>937</v>
      </c>
    </row>
    <row r="9" customFormat="false" ht="41.75" hidden="false" customHeight="false" outlineLevel="0" collapsed="false">
      <c r="A9" s="5" t="n">
        <v>8</v>
      </c>
      <c r="B9" s="9" t="s">
        <v>938</v>
      </c>
      <c r="C9" s="5" t="s">
        <v>939</v>
      </c>
    </row>
    <row r="10" customFormat="false" ht="28.35" hidden="false" customHeight="false" outlineLevel="0" collapsed="false">
      <c r="A10" s="5" t="n">
        <v>9</v>
      </c>
      <c r="B10" s="9" t="s">
        <v>940</v>
      </c>
      <c r="C10" s="5" t="s">
        <v>941</v>
      </c>
    </row>
    <row r="11" customFormat="false" ht="28.35" hidden="false" customHeight="false" outlineLevel="0" collapsed="false">
      <c r="A11" s="5" t="n">
        <v>10</v>
      </c>
      <c r="B11" s="9" t="s">
        <v>942</v>
      </c>
      <c r="C11" s="5" t="s">
        <v>943</v>
      </c>
    </row>
    <row r="12" customFormat="false" ht="15" hidden="false" customHeight="false" outlineLevel="0" collapsed="false">
      <c r="A12" s="5" t="n">
        <v>11</v>
      </c>
      <c r="B12" s="9" t="s">
        <v>944</v>
      </c>
      <c r="C12" s="5" t="s">
        <v>945</v>
      </c>
    </row>
    <row r="13" customFormat="false" ht="28.35" hidden="false" customHeight="false" outlineLevel="0" collapsed="false">
      <c r="A13" s="5" t="n">
        <v>12</v>
      </c>
      <c r="B13" s="9" t="s">
        <v>946</v>
      </c>
      <c r="C13" s="5" t="s">
        <v>947</v>
      </c>
    </row>
    <row r="14" customFormat="false" ht="28.35" hidden="false" customHeight="false" outlineLevel="0" collapsed="false">
      <c r="A14" s="5" t="n">
        <v>13</v>
      </c>
      <c r="B14" s="9" t="s">
        <v>948</v>
      </c>
      <c r="C14" s="5" t="s">
        <v>949</v>
      </c>
    </row>
    <row r="15" customFormat="false" ht="28.35" hidden="false" customHeight="false" outlineLevel="0" collapsed="false">
      <c r="A15" s="5" t="n">
        <v>14</v>
      </c>
      <c r="B15" s="9" t="s">
        <v>950</v>
      </c>
      <c r="C15" s="5" t="s">
        <v>951</v>
      </c>
    </row>
    <row r="16" customFormat="false" ht="15" hidden="false" customHeight="false" outlineLevel="0" collapsed="false">
      <c r="A16" s="5" t="n">
        <v>15</v>
      </c>
      <c r="B16" s="9" t="s">
        <v>952</v>
      </c>
      <c r="C16" s="5" t="s">
        <v>953</v>
      </c>
    </row>
  </sheetData>
  <autoFilter ref="A1:C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00"/>
  </cols>
  <sheetData>
    <row r="1" customFormat="false" ht="30" hidden="false" customHeight="true" outlineLevel="0" collapsed="false">
      <c r="A1" s="14" t="s">
        <v>954</v>
      </c>
      <c r="B1" s="14" t="s">
        <v>955</v>
      </c>
    </row>
    <row r="2" customFormat="false" ht="48" hidden="false" customHeight="true" outlineLevel="0" collapsed="false">
      <c r="A2" s="15" t="s">
        <v>956</v>
      </c>
      <c r="B2" s="15" t="s">
        <v>118</v>
      </c>
    </row>
    <row r="3" customFormat="false" ht="48" hidden="false" customHeight="true" outlineLevel="0" collapsed="false">
      <c r="A3" s="15" t="s">
        <v>957</v>
      </c>
      <c r="B3" s="15" t="s">
        <v>958</v>
      </c>
    </row>
    <row r="4" customFormat="false" ht="48" hidden="false" customHeight="true" outlineLevel="0" collapsed="false">
      <c r="A4" s="15" t="s">
        <v>959</v>
      </c>
      <c r="B4" s="15" t="s">
        <v>120</v>
      </c>
    </row>
    <row r="5" customFormat="false" ht="48" hidden="false" customHeight="true" outlineLevel="0" collapsed="false">
      <c r="A5" s="15" t="s">
        <v>960</v>
      </c>
      <c r="B5" s="15" t="s">
        <v>961</v>
      </c>
    </row>
    <row r="6" customFormat="false" ht="48" hidden="false" customHeight="true" outlineLevel="0" collapsed="false">
      <c r="A6" s="15" t="s">
        <v>962</v>
      </c>
      <c r="B6" s="15" t="s">
        <v>963</v>
      </c>
    </row>
    <row r="7" customFormat="false" ht="48" hidden="false" customHeight="true" outlineLevel="0" collapsed="false">
      <c r="A7" s="15" t="s">
        <v>964</v>
      </c>
      <c r="B7" s="15" t="s">
        <v>122</v>
      </c>
    </row>
    <row r="8" customFormat="false" ht="48" hidden="false" customHeight="true" outlineLevel="0" collapsed="false">
      <c r="A8" s="15" t="s">
        <v>965</v>
      </c>
      <c r="B8" s="15" t="s">
        <v>966</v>
      </c>
    </row>
    <row r="9" customFormat="false" ht="48" hidden="false" customHeight="true" outlineLevel="0" collapsed="false">
      <c r="A9" s="15" t="s">
        <v>967</v>
      </c>
      <c r="B9" s="15" t="s">
        <v>968</v>
      </c>
    </row>
    <row r="10" customFormat="false" ht="48" hidden="false" customHeight="true" outlineLevel="0" collapsed="false">
      <c r="A10" s="15" t="s">
        <v>969</v>
      </c>
      <c r="B10" s="15" t="s">
        <v>970</v>
      </c>
    </row>
    <row r="11" customFormat="false" ht="48" hidden="false" customHeight="true" outlineLevel="0" collapsed="false">
      <c r="A11" s="15" t="s">
        <v>971</v>
      </c>
      <c r="B11" s="15" t="s">
        <v>972</v>
      </c>
    </row>
    <row r="12" customFormat="false" ht="48" hidden="false" customHeight="true" outlineLevel="0" collapsed="false">
      <c r="A12" s="15" t="s">
        <v>973</v>
      </c>
      <c r="B12" s="15" t="s">
        <v>974</v>
      </c>
    </row>
    <row r="13" customFormat="false" ht="48" hidden="false" customHeight="true" outlineLevel="0" collapsed="false">
      <c r="A13" s="15" t="s">
        <v>975</v>
      </c>
      <c r="B13" s="15" t="s">
        <v>976</v>
      </c>
    </row>
    <row r="14" customFormat="false" ht="48" hidden="false" customHeight="true" outlineLevel="0" collapsed="false">
      <c r="A14" s="15" t="s">
        <v>977</v>
      </c>
      <c r="B14" s="15" t="s">
        <v>978</v>
      </c>
    </row>
    <row r="15" customFormat="false" ht="48" hidden="false" customHeight="true" outlineLevel="0" collapsed="false">
      <c r="A15" s="15" t="s">
        <v>979</v>
      </c>
      <c r="B15" s="15" t="s">
        <v>980</v>
      </c>
    </row>
    <row r="16" customFormat="false" ht="48" hidden="false" customHeight="true" outlineLevel="0" collapsed="false">
      <c r="A16" s="15" t="s">
        <v>981</v>
      </c>
      <c r="B16" s="15" t="s">
        <v>982</v>
      </c>
    </row>
    <row r="17" customFormat="false" ht="48" hidden="false" customHeight="true" outlineLevel="0" collapsed="false">
      <c r="A17" s="15" t="s">
        <v>983</v>
      </c>
      <c r="B17" s="15" t="s">
        <v>984</v>
      </c>
    </row>
    <row r="18" customFormat="false" ht="48" hidden="false" customHeight="true" outlineLevel="0" collapsed="false">
      <c r="A18" s="15" t="s">
        <v>985</v>
      </c>
      <c r="B18" s="15" t="s">
        <v>986</v>
      </c>
    </row>
    <row r="19" customFormat="false" ht="48" hidden="false" customHeight="true" outlineLevel="0" collapsed="false">
      <c r="A19" s="15" t="s">
        <v>987</v>
      </c>
      <c r="B19" s="15" t="s">
        <v>988</v>
      </c>
    </row>
    <row r="20" customFormat="false" ht="48" hidden="false" customHeight="true" outlineLevel="0" collapsed="false">
      <c r="A20" s="15" t="s">
        <v>989</v>
      </c>
      <c r="B20" s="15" t="s">
        <v>990</v>
      </c>
    </row>
    <row r="21" customFormat="false" ht="48" hidden="false" customHeight="true" outlineLevel="0" collapsed="false">
      <c r="A21" s="15" t="s">
        <v>991</v>
      </c>
      <c r="B21" s="15" t="s">
        <v>992</v>
      </c>
    </row>
  </sheetData>
  <autoFilter ref="A1:B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00"/>
  </cols>
  <sheetData>
    <row r="1" customFormat="false" ht="30" hidden="false" customHeight="true" outlineLevel="0" collapsed="false">
      <c r="A1" s="14" t="s">
        <v>848</v>
      </c>
      <c r="B1" s="14" t="s">
        <v>993</v>
      </c>
    </row>
    <row r="2" customFormat="false" ht="48" hidden="false" customHeight="true" outlineLevel="0" collapsed="false">
      <c r="A2" s="15" t="s">
        <v>994</v>
      </c>
      <c r="B2" s="15" t="s">
        <v>995</v>
      </c>
    </row>
    <row r="3" customFormat="false" ht="48" hidden="false" customHeight="true" outlineLevel="0" collapsed="false">
      <c r="A3" s="15" t="s">
        <v>996</v>
      </c>
      <c r="B3" s="15" t="s">
        <v>997</v>
      </c>
    </row>
    <row r="4" customFormat="false" ht="48" hidden="false" customHeight="true" outlineLevel="0" collapsed="false">
      <c r="A4" s="15" t="s">
        <v>998</v>
      </c>
      <c r="B4" s="15" t="s">
        <v>999</v>
      </c>
    </row>
    <row r="5" customFormat="false" ht="48" hidden="false" customHeight="true" outlineLevel="0" collapsed="false">
      <c r="A5" s="15" t="s">
        <v>1000</v>
      </c>
      <c r="B5" s="15" t="s">
        <v>1001</v>
      </c>
    </row>
    <row r="6" customFormat="false" ht="48" hidden="false" customHeight="true" outlineLevel="0" collapsed="false">
      <c r="A6" s="15" t="s">
        <v>1002</v>
      </c>
      <c r="B6" s="15" t="s">
        <v>1003</v>
      </c>
    </row>
    <row r="7" customFormat="false" ht="48" hidden="false" customHeight="true" outlineLevel="0" collapsed="false">
      <c r="A7" s="15" t="s">
        <v>1004</v>
      </c>
      <c r="B7" s="15" t="s">
        <v>1005</v>
      </c>
    </row>
    <row r="8" customFormat="false" ht="48" hidden="false" customHeight="true" outlineLevel="0" collapsed="false">
      <c r="A8" s="15" t="s">
        <v>1006</v>
      </c>
      <c r="B8" s="15" t="s">
        <v>1007</v>
      </c>
    </row>
    <row r="9" customFormat="false" ht="48" hidden="false" customHeight="true" outlineLevel="0" collapsed="false">
      <c r="A9" s="15" t="s">
        <v>1008</v>
      </c>
      <c r="B9" s="15" t="s">
        <v>1009</v>
      </c>
    </row>
    <row r="10" customFormat="false" ht="48" hidden="false" customHeight="true" outlineLevel="0" collapsed="false">
      <c r="A10" s="15" t="s">
        <v>1010</v>
      </c>
      <c r="B10" s="15" t="s">
        <v>1011</v>
      </c>
    </row>
    <row r="11" customFormat="false" ht="48" hidden="false" customHeight="true" outlineLevel="0" collapsed="false">
      <c r="A11" s="15" t="s">
        <v>1012</v>
      </c>
      <c r="B11" s="15" t="s">
        <v>1013</v>
      </c>
    </row>
    <row r="12" customFormat="false" ht="48" hidden="false" customHeight="true" outlineLevel="0" collapsed="false">
      <c r="A12" s="15" t="s">
        <v>1014</v>
      </c>
      <c r="B12" s="15" t="s">
        <v>1015</v>
      </c>
    </row>
    <row r="13" customFormat="false" ht="48" hidden="false" customHeight="true" outlineLevel="0" collapsed="false">
      <c r="A13" s="15" t="s">
        <v>1016</v>
      </c>
      <c r="B13" s="15" t="s">
        <v>1017</v>
      </c>
    </row>
    <row r="14" customFormat="false" ht="48" hidden="false" customHeight="true" outlineLevel="0" collapsed="false">
      <c r="A14" s="15" t="s">
        <v>1018</v>
      </c>
      <c r="B14" s="15" t="s">
        <v>1019</v>
      </c>
    </row>
    <row r="15" customFormat="false" ht="48" hidden="false" customHeight="true" outlineLevel="0" collapsed="false">
      <c r="A15" s="15" t="s">
        <v>1020</v>
      </c>
      <c r="B15" s="15" t="s">
        <v>1021</v>
      </c>
    </row>
    <row r="16" customFormat="false" ht="48" hidden="false" customHeight="true" outlineLevel="0" collapsed="false">
      <c r="A16" s="15" t="s">
        <v>1022</v>
      </c>
      <c r="B16" s="15" t="s">
        <v>1023</v>
      </c>
    </row>
    <row r="17" customFormat="false" ht="48" hidden="false" customHeight="true" outlineLevel="0" collapsed="false">
      <c r="A17" s="15" t="s">
        <v>1024</v>
      </c>
      <c r="B17" s="15" t="s">
        <v>1025</v>
      </c>
    </row>
    <row r="18" customFormat="false" ht="48" hidden="false" customHeight="true" outlineLevel="0" collapsed="false">
      <c r="A18" s="15" t="s">
        <v>1026</v>
      </c>
      <c r="B18" s="15" t="s">
        <v>1027</v>
      </c>
    </row>
    <row r="19" customFormat="false" ht="48" hidden="false" customHeight="true" outlineLevel="0" collapsed="false">
      <c r="A19" s="15" t="s">
        <v>1028</v>
      </c>
      <c r="B19" s="15" t="s">
        <v>1029</v>
      </c>
    </row>
    <row r="20" customFormat="false" ht="48" hidden="false" customHeight="true" outlineLevel="0" collapsed="false">
      <c r="A20" s="15" t="s">
        <v>1030</v>
      </c>
      <c r="B20" s="15" t="s">
        <v>1031</v>
      </c>
    </row>
    <row r="21" customFormat="false" ht="48" hidden="false" customHeight="true" outlineLevel="0" collapsed="false">
      <c r="A21" s="15" t="s">
        <v>1032</v>
      </c>
      <c r="B21" s="15" t="s">
        <v>1033</v>
      </c>
    </row>
    <row r="22" customFormat="false" ht="48" hidden="false" customHeight="true" outlineLevel="0" collapsed="false">
      <c r="A22" s="15" t="s">
        <v>1034</v>
      </c>
      <c r="B22" s="15" t="s">
        <v>1035</v>
      </c>
    </row>
  </sheetData>
  <autoFilter ref="A1:B2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3" min="2" style="0" width="100"/>
  </cols>
  <sheetData>
    <row r="1" customFormat="false" ht="30" hidden="false" customHeight="true" outlineLevel="0" collapsed="false">
      <c r="A1" s="14" t="s">
        <v>1036</v>
      </c>
      <c r="B1" s="14" t="s">
        <v>1037</v>
      </c>
      <c r="C1" s="14" t="s">
        <v>1038</v>
      </c>
    </row>
    <row r="2" customFormat="false" ht="48" hidden="false" customHeight="true" outlineLevel="0" collapsed="false">
      <c r="A2" s="15" t="s">
        <v>1039</v>
      </c>
      <c r="B2" s="15" t="s">
        <v>1040</v>
      </c>
      <c r="C2" s="15" t="s">
        <v>1041</v>
      </c>
    </row>
    <row r="3" customFormat="false" ht="48" hidden="false" customHeight="true" outlineLevel="0" collapsed="false">
      <c r="A3" s="15" t="s">
        <v>1042</v>
      </c>
      <c r="B3" s="15" t="s">
        <v>1043</v>
      </c>
      <c r="C3" s="15" t="s">
        <v>1044</v>
      </c>
    </row>
    <row r="4" customFormat="false" ht="48" hidden="false" customHeight="true" outlineLevel="0" collapsed="false">
      <c r="A4" s="15" t="s">
        <v>1045</v>
      </c>
      <c r="B4" s="15" t="s">
        <v>1046</v>
      </c>
      <c r="C4" s="15" t="s">
        <v>1047</v>
      </c>
    </row>
    <row r="5" customFormat="false" ht="48" hidden="false" customHeight="true" outlineLevel="0" collapsed="false">
      <c r="A5" s="15" t="s">
        <v>1048</v>
      </c>
      <c r="B5" s="15" t="s">
        <v>1049</v>
      </c>
      <c r="C5" s="15" t="s">
        <v>1050</v>
      </c>
    </row>
    <row r="6" customFormat="false" ht="48" hidden="false" customHeight="true" outlineLevel="0" collapsed="false">
      <c r="A6" s="15" t="s">
        <v>1051</v>
      </c>
      <c r="B6" s="15" t="s">
        <v>1052</v>
      </c>
      <c r="C6" s="15" t="s">
        <v>1053</v>
      </c>
    </row>
    <row r="7" customFormat="false" ht="48" hidden="false" customHeight="true" outlineLevel="0" collapsed="false">
      <c r="A7" s="15" t="s">
        <v>1054</v>
      </c>
      <c r="B7" s="15" t="s">
        <v>1055</v>
      </c>
      <c r="C7" s="15" t="s">
        <v>1056</v>
      </c>
    </row>
    <row r="8" customFormat="false" ht="48" hidden="false" customHeight="true" outlineLevel="0" collapsed="false">
      <c r="A8" s="15" t="s">
        <v>1057</v>
      </c>
      <c r="B8" s="15" t="s">
        <v>1058</v>
      </c>
      <c r="C8" s="15" t="s">
        <v>1059</v>
      </c>
    </row>
  </sheetData>
  <autoFilter ref="A1:C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00"/>
  </cols>
  <sheetData>
    <row r="1" customFormat="false" ht="30" hidden="false" customHeight="true" outlineLevel="0" collapsed="false">
      <c r="A1" s="14" t="s">
        <v>884</v>
      </c>
      <c r="B1" s="14" t="s">
        <v>1060</v>
      </c>
    </row>
    <row r="2" customFormat="false" ht="48" hidden="false" customHeight="true" outlineLevel="0" collapsed="false">
      <c r="A2" s="15" t="s">
        <v>1061</v>
      </c>
      <c r="B2" s="15" t="s">
        <v>1062</v>
      </c>
    </row>
    <row r="3" customFormat="false" ht="48" hidden="false" customHeight="true" outlineLevel="0" collapsed="false">
      <c r="A3" s="15" t="s">
        <v>1063</v>
      </c>
      <c r="B3" s="15" t="s">
        <v>1064</v>
      </c>
    </row>
    <row r="4" customFormat="false" ht="48" hidden="false" customHeight="true" outlineLevel="0" collapsed="false">
      <c r="A4" s="15" t="s">
        <v>1065</v>
      </c>
      <c r="B4" s="15" t="s">
        <v>1066</v>
      </c>
    </row>
    <row r="5" customFormat="false" ht="48" hidden="false" customHeight="true" outlineLevel="0" collapsed="false">
      <c r="A5" s="15" t="s">
        <v>1067</v>
      </c>
      <c r="B5" s="15" t="s">
        <v>1068</v>
      </c>
    </row>
    <row r="6" customFormat="false" ht="48" hidden="false" customHeight="true" outlineLevel="0" collapsed="false">
      <c r="A6" s="15" t="s">
        <v>1069</v>
      </c>
      <c r="B6" s="15" t="s">
        <v>1070</v>
      </c>
    </row>
    <row r="7" customFormat="false" ht="48" hidden="false" customHeight="true" outlineLevel="0" collapsed="false">
      <c r="A7" s="15" t="s">
        <v>1071</v>
      </c>
      <c r="B7" s="15" t="s">
        <v>1072</v>
      </c>
    </row>
    <row r="8" customFormat="false" ht="48" hidden="false" customHeight="true" outlineLevel="0" collapsed="false">
      <c r="A8" s="15" t="s">
        <v>1073</v>
      </c>
      <c r="B8" s="15" t="s">
        <v>1074</v>
      </c>
    </row>
    <row r="9" customFormat="false" ht="48" hidden="false" customHeight="true" outlineLevel="0" collapsed="false">
      <c r="A9" s="15" t="s">
        <v>1075</v>
      </c>
      <c r="B9" s="15" t="s">
        <v>1076</v>
      </c>
    </row>
    <row r="10" customFormat="false" ht="48" hidden="false" customHeight="true" outlineLevel="0" collapsed="false">
      <c r="A10" s="15" t="s">
        <v>1077</v>
      </c>
      <c r="B10" s="15" t="s">
        <v>1078</v>
      </c>
    </row>
  </sheetData>
  <autoFilter ref="A1:B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00"/>
  </cols>
  <sheetData>
    <row r="1" customFormat="false" ht="30" hidden="false" customHeight="true" outlineLevel="0" collapsed="false">
      <c r="A1" s="14" t="s">
        <v>1079</v>
      </c>
      <c r="B1" s="14" t="s">
        <v>1080</v>
      </c>
    </row>
    <row r="2" customFormat="false" ht="48" hidden="false" customHeight="true" outlineLevel="0" collapsed="false">
      <c r="A2" s="15" t="n">
        <v>1</v>
      </c>
      <c r="B2" s="15" t="s">
        <v>1081</v>
      </c>
    </row>
    <row r="3" customFormat="false" ht="48" hidden="false" customHeight="true" outlineLevel="0" collapsed="false">
      <c r="A3" s="15" t="n">
        <v>2</v>
      </c>
      <c r="B3" s="15" t="s">
        <v>1082</v>
      </c>
    </row>
    <row r="4" customFormat="false" ht="48" hidden="false" customHeight="true" outlineLevel="0" collapsed="false">
      <c r="A4" s="15" t="n">
        <v>3</v>
      </c>
      <c r="B4" s="15" t="s">
        <v>1083</v>
      </c>
    </row>
    <row r="5" customFormat="false" ht="48" hidden="false" customHeight="true" outlineLevel="0" collapsed="false">
      <c r="A5" s="15" t="n">
        <v>4</v>
      </c>
      <c r="B5" s="15" t="s">
        <v>1084</v>
      </c>
    </row>
    <row r="6" customFormat="false" ht="48" hidden="false" customHeight="true" outlineLevel="0" collapsed="false">
      <c r="A6" s="15" t="n">
        <v>5</v>
      </c>
      <c r="B6" s="15" t="s">
        <v>1085</v>
      </c>
    </row>
    <row r="7" customFormat="false" ht="48" hidden="false" customHeight="true" outlineLevel="0" collapsed="false">
      <c r="A7" s="15" t="n">
        <v>6</v>
      </c>
      <c r="B7" s="15" t="s">
        <v>1086</v>
      </c>
    </row>
    <row r="8" customFormat="false" ht="48" hidden="false" customHeight="true" outlineLevel="0" collapsed="false">
      <c r="A8" s="15" t="n">
        <v>7</v>
      </c>
      <c r="B8" s="15" t="s">
        <v>1087</v>
      </c>
    </row>
    <row r="9" customFormat="false" ht="48" hidden="false" customHeight="true" outlineLevel="0" collapsed="false">
      <c r="A9" s="15" t="n">
        <v>8</v>
      </c>
      <c r="B9" s="15" t="s">
        <v>1088</v>
      </c>
    </row>
    <row r="10" customFormat="false" ht="48" hidden="false" customHeight="true" outlineLevel="0" collapsed="false">
      <c r="A10" s="15" t="n">
        <v>9</v>
      </c>
      <c r="B10" s="15" t="s">
        <v>1089</v>
      </c>
    </row>
    <row r="11" customFormat="false" ht="48" hidden="false" customHeight="true" outlineLevel="0" collapsed="false">
      <c r="A11" s="15" t="n">
        <v>10</v>
      </c>
      <c r="B11" s="15" t="s">
        <v>1090</v>
      </c>
    </row>
    <row r="12" customFormat="false" ht="48" hidden="false" customHeight="true" outlineLevel="0" collapsed="false">
      <c r="A12" s="15" t="n">
        <v>11</v>
      </c>
      <c r="B12" s="15" t="s">
        <v>1091</v>
      </c>
    </row>
    <row r="13" customFormat="false" ht="48" hidden="false" customHeight="true" outlineLevel="0" collapsed="false">
      <c r="A13" s="15" t="n">
        <v>12</v>
      </c>
      <c r="B13" s="15" t="s">
        <v>1092</v>
      </c>
    </row>
  </sheetData>
  <autoFilter ref="A1:B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8"/>
    <col collapsed="false" customWidth="true" hidden="false" outlineLevel="0" max="3" min="3" style="0" width="140"/>
  </cols>
  <sheetData>
    <row r="1" customFormat="false" ht="45" hidden="false" customHeight="true" outlineLevel="0" collapsed="false">
      <c r="A1" s="3" t="s">
        <v>1093</v>
      </c>
      <c r="B1" s="3" t="s">
        <v>1094</v>
      </c>
      <c r="C1" s="3" t="s">
        <v>1095</v>
      </c>
    </row>
    <row r="2" customFormat="false" ht="28.35" hidden="false" customHeight="false" outlineLevel="0" collapsed="false">
      <c r="A2" s="5" t="s">
        <v>132</v>
      </c>
      <c r="B2" s="5" t="n">
        <v>1</v>
      </c>
      <c r="C2" s="5" t="s">
        <v>1096</v>
      </c>
    </row>
    <row r="3" customFormat="false" ht="28.35" hidden="false" customHeight="false" outlineLevel="0" collapsed="false">
      <c r="A3" s="5" t="s">
        <v>132</v>
      </c>
      <c r="B3" s="5" t="n">
        <v>2</v>
      </c>
      <c r="C3" s="5" t="s">
        <v>1097</v>
      </c>
    </row>
    <row r="4" customFormat="false" ht="15" hidden="false" customHeight="false" outlineLevel="0" collapsed="false">
      <c r="A4" s="5" t="s">
        <v>132</v>
      </c>
      <c r="B4" s="5" t="n">
        <v>3</v>
      </c>
      <c r="C4" s="5" t="s">
        <v>1098</v>
      </c>
    </row>
    <row r="5" customFormat="false" ht="28.35" hidden="false" customHeight="false" outlineLevel="0" collapsed="false">
      <c r="A5" s="5" t="s">
        <v>132</v>
      </c>
      <c r="B5" s="5" t="n">
        <v>4</v>
      </c>
      <c r="C5" s="5" t="s">
        <v>1099</v>
      </c>
    </row>
    <row r="6" customFormat="false" ht="28.35" hidden="false" customHeight="false" outlineLevel="0" collapsed="false">
      <c r="A6" s="5" t="s">
        <v>132</v>
      </c>
      <c r="B6" s="5" t="n">
        <v>5</v>
      </c>
      <c r="C6" s="5" t="s">
        <v>1100</v>
      </c>
    </row>
    <row r="7" customFormat="false" ht="28.35" hidden="false" customHeight="false" outlineLevel="0" collapsed="false">
      <c r="A7" s="5" t="s">
        <v>132</v>
      </c>
      <c r="B7" s="5" t="n">
        <v>6</v>
      </c>
      <c r="C7" s="5" t="s">
        <v>1101</v>
      </c>
    </row>
    <row r="8" customFormat="false" ht="28.35" hidden="false" customHeight="false" outlineLevel="0" collapsed="false">
      <c r="A8" s="5" t="s">
        <v>132</v>
      </c>
      <c r="B8" s="5" t="n">
        <v>7</v>
      </c>
      <c r="C8" s="5" t="s">
        <v>1102</v>
      </c>
    </row>
    <row r="9" customFormat="false" ht="28.35" hidden="false" customHeight="false" outlineLevel="0" collapsed="false">
      <c r="A9" s="5" t="s">
        <v>132</v>
      </c>
      <c r="B9" s="5" t="n">
        <v>8</v>
      </c>
      <c r="C9" s="5" t="s">
        <v>1103</v>
      </c>
    </row>
    <row r="10" customFormat="false" ht="15" hidden="false" customHeight="false" outlineLevel="0" collapsed="false">
      <c r="A10" s="5" t="s">
        <v>132</v>
      </c>
      <c r="B10" s="5" t="n">
        <v>9</v>
      </c>
      <c r="C10" s="5" t="s">
        <v>1104</v>
      </c>
    </row>
    <row r="11" customFormat="false" ht="28.35" hidden="false" customHeight="false" outlineLevel="0" collapsed="false">
      <c r="A11" s="5" t="s">
        <v>132</v>
      </c>
      <c r="B11" s="5" t="n">
        <v>10</v>
      </c>
      <c r="C11" s="5" t="s">
        <v>1105</v>
      </c>
    </row>
    <row r="12" customFormat="false" ht="28.35" hidden="false" customHeight="false" outlineLevel="0" collapsed="false">
      <c r="A12" s="5" t="s">
        <v>132</v>
      </c>
      <c r="B12" s="5" t="n">
        <v>11</v>
      </c>
      <c r="C12" s="5" t="s">
        <v>1106</v>
      </c>
    </row>
    <row r="13" customFormat="false" ht="28.35" hidden="false" customHeight="false" outlineLevel="0" collapsed="false">
      <c r="A13" s="5" t="s">
        <v>132</v>
      </c>
      <c r="B13" s="5" t="n">
        <v>12</v>
      </c>
      <c r="C13" s="5" t="s">
        <v>1107</v>
      </c>
    </row>
    <row r="14" customFormat="false" ht="15" hidden="false" customHeight="false" outlineLevel="0" collapsed="false">
      <c r="A14" s="5" t="s">
        <v>132</v>
      </c>
      <c r="B14" s="5" t="n">
        <v>13</v>
      </c>
      <c r="C14" s="5" t="s">
        <v>1108</v>
      </c>
    </row>
    <row r="15" customFormat="false" ht="15" hidden="false" customHeight="false" outlineLevel="0" collapsed="false">
      <c r="A15" s="5" t="s">
        <v>132</v>
      </c>
      <c r="B15" s="5" t="n">
        <v>14</v>
      </c>
      <c r="C15" s="5" t="s">
        <v>1109</v>
      </c>
    </row>
    <row r="16" customFormat="false" ht="28.35" hidden="false" customHeight="false" outlineLevel="0" collapsed="false">
      <c r="A16" s="5" t="s">
        <v>132</v>
      </c>
      <c r="B16" s="5" t="n">
        <v>15</v>
      </c>
      <c r="C16" s="5" t="s">
        <v>1110</v>
      </c>
    </row>
    <row r="17" customFormat="false" ht="28.35" hidden="false" customHeight="false" outlineLevel="0" collapsed="false">
      <c r="A17" s="5" t="s">
        <v>132</v>
      </c>
      <c r="B17" s="5" t="n">
        <v>16</v>
      </c>
      <c r="C17" s="5" t="s">
        <v>1111</v>
      </c>
    </row>
    <row r="18" customFormat="false" ht="15" hidden="false" customHeight="false" outlineLevel="0" collapsed="false">
      <c r="A18" s="5" t="s">
        <v>132</v>
      </c>
      <c r="B18" s="5" t="n">
        <v>17</v>
      </c>
      <c r="C18" s="5" t="s">
        <v>1112</v>
      </c>
    </row>
    <row r="19" customFormat="false" ht="15" hidden="false" customHeight="false" outlineLevel="0" collapsed="false">
      <c r="A19" s="5" t="s">
        <v>132</v>
      </c>
      <c r="B19" s="5" t="n">
        <v>18</v>
      </c>
      <c r="C19" s="5" t="s">
        <v>1113</v>
      </c>
    </row>
    <row r="20" customFormat="false" ht="28.35" hidden="false" customHeight="false" outlineLevel="0" collapsed="false">
      <c r="A20" s="5" t="s">
        <v>132</v>
      </c>
      <c r="B20" s="5" t="n">
        <v>19</v>
      </c>
      <c r="C20" s="5" t="s">
        <v>1114</v>
      </c>
    </row>
    <row r="21" customFormat="false" ht="28.35" hidden="false" customHeight="false" outlineLevel="0" collapsed="false">
      <c r="A21" s="5" t="s">
        <v>132</v>
      </c>
      <c r="B21" s="5" t="n">
        <v>20</v>
      </c>
      <c r="C21" s="5" t="s">
        <v>1115</v>
      </c>
    </row>
    <row r="22" customFormat="false" ht="28.35" hidden="false" customHeight="false" outlineLevel="0" collapsed="false">
      <c r="A22" s="5" t="s">
        <v>132</v>
      </c>
      <c r="B22" s="5" t="n">
        <v>21</v>
      </c>
      <c r="C22" s="5" t="s">
        <v>1116</v>
      </c>
    </row>
    <row r="23" customFormat="false" ht="28.35" hidden="false" customHeight="false" outlineLevel="0" collapsed="false">
      <c r="A23" s="5" t="s">
        <v>132</v>
      </c>
      <c r="B23" s="5" t="n">
        <v>22</v>
      </c>
      <c r="C23" s="5" t="s">
        <v>1117</v>
      </c>
    </row>
    <row r="24" customFormat="false" ht="15" hidden="false" customHeight="false" outlineLevel="0" collapsed="false">
      <c r="A24" s="5" t="s">
        <v>132</v>
      </c>
      <c r="B24" s="5" t="n">
        <v>23</v>
      </c>
      <c r="C24" s="5" t="s">
        <v>1118</v>
      </c>
    </row>
    <row r="25" customFormat="false" ht="28.35" hidden="false" customHeight="false" outlineLevel="0" collapsed="false">
      <c r="A25" s="5" t="s">
        <v>132</v>
      </c>
      <c r="B25" s="5" t="n">
        <v>24</v>
      </c>
      <c r="C25" s="5" t="s">
        <v>1119</v>
      </c>
    </row>
    <row r="26" customFormat="false" ht="28.35" hidden="false" customHeight="false" outlineLevel="0" collapsed="false">
      <c r="A26" s="5" t="s">
        <v>132</v>
      </c>
      <c r="B26" s="5" t="n">
        <v>25</v>
      </c>
      <c r="C26" s="5" t="s">
        <v>1120</v>
      </c>
    </row>
    <row r="27" customFormat="false" ht="28.35" hidden="false" customHeight="false" outlineLevel="0" collapsed="false">
      <c r="A27" s="5" t="s">
        <v>132</v>
      </c>
      <c r="B27" s="5" t="n">
        <v>26</v>
      </c>
      <c r="C27" s="5" t="s">
        <v>1121</v>
      </c>
    </row>
    <row r="28" customFormat="false" ht="28.35" hidden="false" customHeight="false" outlineLevel="0" collapsed="false">
      <c r="A28" s="5" t="s">
        <v>132</v>
      </c>
      <c r="B28" s="5" t="n">
        <v>27</v>
      </c>
      <c r="C28" s="5" t="s">
        <v>1122</v>
      </c>
    </row>
    <row r="29" customFormat="false" ht="28.35" hidden="false" customHeight="false" outlineLevel="0" collapsed="false">
      <c r="A29" s="5" t="s">
        <v>132</v>
      </c>
      <c r="B29" s="5" t="n">
        <v>28</v>
      </c>
      <c r="C29" s="5" t="s">
        <v>1123</v>
      </c>
    </row>
    <row r="30" customFormat="false" ht="15" hidden="false" customHeight="false" outlineLevel="0" collapsed="false">
      <c r="A30" s="5" t="s">
        <v>132</v>
      </c>
      <c r="B30" s="5" t="n">
        <v>29</v>
      </c>
      <c r="C30" s="5" t="s">
        <v>1124</v>
      </c>
    </row>
    <row r="31" customFormat="false" ht="28.35" hidden="false" customHeight="false" outlineLevel="0" collapsed="false">
      <c r="A31" s="5" t="s">
        <v>132</v>
      </c>
      <c r="B31" s="5" t="n">
        <v>30</v>
      </c>
      <c r="C31" s="5" t="s">
        <v>1125</v>
      </c>
    </row>
    <row r="32" customFormat="false" ht="28.35" hidden="false" customHeight="false" outlineLevel="0" collapsed="false">
      <c r="A32" s="5" t="s">
        <v>132</v>
      </c>
      <c r="B32" s="5" t="n">
        <v>31</v>
      </c>
      <c r="C32" s="5" t="s">
        <v>1126</v>
      </c>
    </row>
    <row r="33" customFormat="false" ht="15" hidden="false" customHeight="false" outlineLevel="0" collapsed="false">
      <c r="A33" s="5" t="s">
        <v>221</v>
      </c>
      <c r="B33" s="5" t="n">
        <v>1</v>
      </c>
      <c r="C33" s="5" t="s">
        <v>1127</v>
      </c>
    </row>
    <row r="34" customFormat="false" ht="15" hidden="false" customHeight="false" outlineLevel="0" collapsed="false">
      <c r="A34" s="5" t="s">
        <v>221</v>
      </c>
      <c r="B34" s="5" t="n">
        <v>2</v>
      </c>
      <c r="C34" s="5" t="s">
        <v>1128</v>
      </c>
    </row>
    <row r="35" customFormat="false" ht="15" hidden="false" customHeight="false" outlineLevel="0" collapsed="false">
      <c r="A35" s="5" t="s">
        <v>221</v>
      </c>
      <c r="B35" s="5" t="n">
        <v>3</v>
      </c>
      <c r="C35" s="5" t="s">
        <v>1129</v>
      </c>
    </row>
    <row r="36" customFormat="false" ht="15" hidden="false" customHeight="false" outlineLevel="0" collapsed="false">
      <c r="A36" s="5" t="s">
        <v>221</v>
      </c>
      <c r="B36" s="5" t="n">
        <v>4</v>
      </c>
      <c r="C36" s="5" t="s">
        <v>1130</v>
      </c>
    </row>
    <row r="37" customFormat="false" ht="15" hidden="false" customHeight="false" outlineLevel="0" collapsed="false">
      <c r="A37" s="5" t="s">
        <v>221</v>
      </c>
      <c r="B37" s="5" t="n">
        <v>5</v>
      </c>
      <c r="C37" s="5" t="s">
        <v>1131</v>
      </c>
    </row>
    <row r="38" customFormat="false" ht="28.35" hidden="false" customHeight="false" outlineLevel="0" collapsed="false">
      <c r="A38" s="5" t="s">
        <v>221</v>
      </c>
      <c r="B38" s="5" t="n">
        <v>6</v>
      </c>
      <c r="C38" s="5" t="s">
        <v>1132</v>
      </c>
    </row>
    <row r="39" customFormat="false" ht="28.35" hidden="false" customHeight="false" outlineLevel="0" collapsed="false">
      <c r="A39" s="5" t="s">
        <v>221</v>
      </c>
      <c r="B39" s="5" t="n">
        <v>7</v>
      </c>
      <c r="C39" s="5" t="s">
        <v>1133</v>
      </c>
    </row>
    <row r="40" customFormat="false" ht="41.75" hidden="false" customHeight="false" outlineLevel="0" collapsed="false">
      <c r="A40" s="5" t="s">
        <v>221</v>
      </c>
      <c r="B40" s="5" t="n">
        <v>8</v>
      </c>
      <c r="C40" s="5" t="s">
        <v>1134</v>
      </c>
    </row>
    <row r="41" customFormat="false" ht="28.35" hidden="false" customHeight="false" outlineLevel="0" collapsed="false">
      <c r="A41" s="5" t="s">
        <v>221</v>
      </c>
      <c r="B41" s="5" t="n">
        <v>9</v>
      </c>
      <c r="C41" s="5" t="s">
        <v>1135</v>
      </c>
    </row>
    <row r="42" customFormat="false" ht="15" hidden="false" customHeight="false" outlineLevel="0" collapsed="false">
      <c r="A42" s="5" t="s">
        <v>221</v>
      </c>
      <c r="B42" s="5" t="n">
        <v>10</v>
      </c>
      <c r="C42" s="5" t="s">
        <v>1136</v>
      </c>
    </row>
    <row r="43" customFormat="false" ht="15" hidden="false" customHeight="false" outlineLevel="0" collapsed="false">
      <c r="A43" s="5" t="s">
        <v>221</v>
      </c>
      <c r="B43" s="5" t="n">
        <v>11</v>
      </c>
      <c r="C43" s="5" t="s">
        <v>1137</v>
      </c>
    </row>
    <row r="44" customFormat="false" ht="28.35" hidden="false" customHeight="false" outlineLevel="0" collapsed="false">
      <c r="A44" s="5" t="s">
        <v>221</v>
      </c>
      <c r="B44" s="5" t="n">
        <v>12</v>
      </c>
      <c r="C44" s="5" t="s">
        <v>1138</v>
      </c>
    </row>
    <row r="45" customFormat="false" ht="15" hidden="false" customHeight="false" outlineLevel="0" collapsed="false">
      <c r="A45" s="5" t="s">
        <v>221</v>
      </c>
      <c r="B45" s="5" t="n">
        <v>13</v>
      </c>
      <c r="C45" s="5" t="s">
        <v>1139</v>
      </c>
    </row>
    <row r="46" customFormat="false" ht="15" hidden="false" customHeight="false" outlineLevel="0" collapsed="false">
      <c r="A46" s="5" t="s">
        <v>221</v>
      </c>
      <c r="B46" s="5" t="n">
        <v>14</v>
      </c>
      <c r="C46" s="5" t="s">
        <v>1140</v>
      </c>
    </row>
    <row r="47" customFormat="false" ht="15" hidden="false" customHeight="false" outlineLevel="0" collapsed="false">
      <c r="A47" s="5" t="s">
        <v>221</v>
      </c>
      <c r="B47" s="5" t="n">
        <v>15</v>
      </c>
      <c r="C47" s="5" t="s">
        <v>1141</v>
      </c>
    </row>
    <row r="48" customFormat="false" ht="28.35" hidden="false" customHeight="false" outlineLevel="0" collapsed="false">
      <c r="A48" s="5" t="s">
        <v>221</v>
      </c>
      <c r="B48" s="5" t="n">
        <v>16</v>
      </c>
      <c r="C48" s="5" t="s">
        <v>1142</v>
      </c>
    </row>
    <row r="49" customFormat="false" ht="28.35" hidden="false" customHeight="false" outlineLevel="0" collapsed="false">
      <c r="A49" s="5" t="s">
        <v>221</v>
      </c>
      <c r="B49" s="5" t="n">
        <v>17</v>
      </c>
      <c r="C49" s="5" t="s">
        <v>1143</v>
      </c>
    </row>
    <row r="50" customFormat="false" ht="28.35" hidden="false" customHeight="false" outlineLevel="0" collapsed="false">
      <c r="A50" s="5" t="s">
        <v>221</v>
      </c>
      <c r="B50" s="5" t="n">
        <v>18</v>
      </c>
      <c r="C50" s="5" t="s">
        <v>1144</v>
      </c>
    </row>
    <row r="51" customFormat="false" ht="15" hidden="false" customHeight="false" outlineLevel="0" collapsed="false">
      <c r="A51" s="5" t="s">
        <v>221</v>
      </c>
      <c r="B51" s="5" t="n">
        <v>19</v>
      </c>
      <c r="C51" s="5" t="s">
        <v>1145</v>
      </c>
    </row>
    <row r="52" customFormat="false" ht="28.35" hidden="false" customHeight="false" outlineLevel="0" collapsed="false">
      <c r="A52" s="5" t="s">
        <v>221</v>
      </c>
      <c r="B52" s="5" t="n">
        <v>20</v>
      </c>
      <c r="C52" s="5" t="s">
        <v>1146</v>
      </c>
    </row>
    <row r="53" customFormat="false" ht="15" hidden="false" customHeight="false" outlineLevel="0" collapsed="false">
      <c r="A53" s="5" t="s">
        <v>221</v>
      </c>
      <c r="B53" s="5" t="n">
        <v>21</v>
      </c>
      <c r="C53" s="5" t="s">
        <v>1147</v>
      </c>
    </row>
    <row r="54" customFormat="false" ht="28.35" hidden="false" customHeight="false" outlineLevel="0" collapsed="false">
      <c r="A54" s="5" t="s">
        <v>221</v>
      </c>
      <c r="B54" s="5" t="n">
        <v>22</v>
      </c>
      <c r="C54" s="5" t="s">
        <v>1148</v>
      </c>
    </row>
    <row r="55" customFormat="false" ht="28.35" hidden="false" customHeight="false" outlineLevel="0" collapsed="false">
      <c r="A55" s="5" t="s">
        <v>221</v>
      </c>
      <c r="B55" s="5" t="n">
        <v>23</v>
      </c>
      <c r="C55" s="5" t="s">
        <v>1149</v>
      </c>
    </row>
    <row r="56" customFormat="false" ht="28.35" hidden="false" customHeight="false" outlineLevel="0" collapsed="false">
      <c r="A56" s="5" t="s">
        <v>221</v>
      </c>
      <c r="B56" s="5" t="n">
        <v>24</v>
      </c>
      <c r="C56" s="5" t="s">
        <v>1150</v>
      </c>
    </row>
    <row r="57" customFormat="false" ht="15" hidden="false" customHeight="false" outlineLevel="0" collapsed="false">
      <c r="A57" s="5" t="s">
        <v>221</v>
      </c>
      <c r="B57" s="5" t="n">
        <v>25</v>
      </c>
      <c r="C57" s="5" t="s">
        <v>1151</v>
      </c>
    </row>
    <row r="58" customFormat="false" ht="15" hidden="false" customHeight="false" outlineLevel="0" collapsed="false">
      <c r="A58" s="5" t="s">
        <v>221</v>
      </c>
      <c r="B58" s="5" t="n">
        <v>26</v>
      </c>
      <c r="C58" s="5" t="s">
        <v>1152</v>
      </c>
    </row>
    <row r="59" customFormat="false" ht="15" hidden="false" customHeight="false" outlineLevel="0" collapsed="false">
      <c r="A59" s="5" t="s">
        <v>221</v>
      </c>
      <c r="B59" s="5" t="n">
        <v>27</v>
      </c>
      <c r="C59" s="5" t="s">
        <v>1153</v>
      </c>
    </row>
    <row r="60" customFormat="false" ht="15" hidden="false" customHeight="false" outlineLevel="0" collapsed="false">
      <c r="A60" s="5" t="s">
        <v>221</v>
      </c>
      <c r="B60" s="5" t="n">
        <v>28</v>
      </c>
      <c r="C60" s="5" t="s">
        <v>1154</v>
      </c>
    </row>
    <row r="61" customFormat="false" ht="15" hidden="false" customHeight="false" outlineLevel="0" collapsed="false">
      <c r="A61" s="5" t="s">
        <v>221</v>
      </c>
      <c r="B61" s="5" t="n">
        <v>29</v>
      </c>
      <c r="C61" s="5" t="s">
        <v>1155</v>
      </c>
    </row>
    <row r="62" customFormat="false" ht="28.35" hidden="false" customHeight="false" outlineLevel="0" collapsed="false">
      <c r="A62" s="5" t="s">
        <v>221</v>
      </c>
      <c r="B62" s="5" t="n">
        <v>30</v>
      </c>
      <c r="C62" s="5" t="s">
        <v>1156</v>
      </c>
    </row>
    <row r="63" customFormat="false" ht="15" hidden="false" customHeight="false" outlineLevel="0" collapsed="false">
      <c r="A63" s="5" t="s">
        <v>221</v>
      </c>
      <c r="B63" s="5" t="n">
        <v>31</v>
      </c>
      <c r="C63" s="5" t="s">
        <v>1157</v>
      </c>
    </row>
    <row r="64" customFormat="false" ht="28.35" hidden="false" customHeight="false" outlineLevel="0" collapsed="false">
      <c r="A64" s="5" t="s">
        <v>221</v>
      </c>
      <c r="B64" s="5" t="n">
        <v>32</v>
      </c>
      <c r="C64" s="5" t="s">
        <v>1158</v>
      </c>
    </row>
    <row r="65" customFormat="false" ht="28.35" hidden="false" customHeight="false" outlineLevel="0" collapsed="false">
      <c r="A65" s="5" t="s">
        <v>221</v>
      </c>
      <c r="B65" s="5" t="n">
        <v>33</v>
      </c>
      <c r="C65" s="5" t="s">
        <v>1159</v>
      </c>
    </row>
    <row r="66" customFormat="false" ht="28.35" hidden="false" customHeight="false" outlineLevel="0" collapsed="false">
      <c r="A66" s="5" t="s">
        <v>221</v>
      </c>
      <c r="B66" s="5" t="n">
        <v>34</v>
      </c>
      <c r="C66" s="5" t="s">
        <v>1160</v>
      </c>
    </row>
    <row r="67" customFormat="false" ht="15" hidden="false" customHeight="false" outlineLevel="0" collapsed="false">
      <c r="A67" s="5" t="s">
        <v>221</v>
      </c>
      <c r="B67" s="5" t="n">
        <v>35</v>
      </c>
      <c r="C67" s="5" t="s">
        <v>1161</v>
      </c>
    </row>
    <row r="68" customFormat="false" ht="15" hidden="false" customHeight="false" outlineLevel="0" collapsed="false">
      <c r="A68" s="5" t="s">
        <v>221</v>
      </c>
      <c r="B68" s="5" t="n">
        <v>36</v>
      </c>
      <c r="C68" s="5" t="s">
        <v>1162</v>
      </c>
    </row>
    <row r="69" customFormat="false" ht="15" hidden="false" customHeight="false" outlineLevel="0" collapsed="false">
      <c r="A69" s="5" t="s">
        <v>221</v>
      </c>
      <c r="B69" s="5" t="n">
        <v>37</v>
      </c>
      <c r="C69" s="5" t="s">
        <v>1163</v>
      </c>
    </row>
    <row r="70" customFormat="false" ht="15" hidden="false" customHeight="false" outlineLevel="0" collapsed="false">
      <c r="A70" s="5" t="s">
        <v>221</v>
      </c>
      <c r="B70" s="5" t="n">
        <v>38</v>
      </c>
      <c r="C70" s="5" t="s">
        <v>1164</v>
      </c>
    </row>
    <row r="71" customFormat="false" ht="28.35" hidden="false" customHeight="false" outlineLevel="0" collapsed="false">
      <c r="A71" s="5" t="s">
        <v>221</v>
      </c>
      <c r="B71" s="5" t="n">
        <v>39</v>
      </c>
      <c r="C71" s="5" t="s">
        <v>1165</v>
      </c>
    </row>
    <row r="72" customFormat="false" ht="15" hidden="false" customHeight="false" outlineLevel="0" collapsed="false">
      <c r="A72" s="5" t="s">
        <v>221</v>
      </c>
      <c r="B72" s="5" t="n">
        <v>40</v>
      </c>
      <c r="C72" s="5" t="s">
        <v>1166</v>
      </c>
    </row>
    <row r="73" customFormat="false" ht="15" hidden="false" customHeight="false" outlineLevel="0" collapsed="false">
      <c r="A73" s="5" t="s">
        <v>221</v>
      </c>
      <c r="B73" s="5" t="n">
        <v>41</v>
      </c>
      <c r="C73" s="5" t="s">
        <v>1167</v>
      </c>
    </row>
    <row r="74" customFormat="false" ht="15" hidden="false" customHeight="false" outlineLevel="0" collapsed="false">
      <c r="A74" s="5" t="s">
        <v>221</v>
      </c>
      <c r="B74" s="5" t="n">
        <v>42</v>
      </c>
      <c r="C74" s="5" t="s">
        <v>1168</v>
      </c>
    </row>
    <row r="75" customFormat="false" ht="15" hidden="false" customHeight="false" outlineLevel="0" collapsed="false">
      <c r="A75" s="5" t="s">
        <v>221</v>
      </c>
      <c r="B75" s="5" t="n">
        <v>43</v>
      </c>
      <c r="C75" s="5" t="s">
        <v>1169</v>
      </c>
    </row>
    <row r="76" customFormat="false" ht="28.35" hidden="false" customHeight="false" outlineLevel="0" collapsed="false">
      <c r="A76" s="5" t="s">
        <v>221</v>
      </c>
      <c r="B76" s="5" t="n">
        <v>44</v>
      </c>
      <c r="C76" s="5" t="s">
        <v>1170</v>
      </c>
    </row>
    <row r="77" customFormat="false" ht="15" hidden="false" customHeight="false" outlineLevel="0" collapsed="false">
      <c r="A77" s="5" t="s">
        <v>221</v>
      </c>
      <c r="B77" s="5" t="n">
        <v>45</v>
      </c>
      <c r="C77" s="5" t="s">
        <v>1171</v>
      </c>
    </row>
    <row r="78" customFormat="false" ht="28.35" hidden="false" customHeight="false" outlineLevel="0" collapsed="false">
      <c r="A78" s="5" t="s">
        <v>221</v>
      </c>
      <c r="B78" s="5" t="n">
        <v>46</v>
      </c>
      <c r="C78" s="5" t="s">
        <v>1172</v>
      </c>
    </row>
    <row r="79" customFormat="false" ht="28.35" hidden="false" customHeight="false" outlineLevel="0" collapsed="false">
      <c r="A79" s="5" t="s">
        <v>221</v>
      </c>
      <c r="B79" s="5" t="n">
        <v>47</v>
      </c>
      <c r="C79" s="5" t="s">
        <v>1173</v>
      </c>
    </row>
    <row r="80" customFormat="false" ht="15" hidden="false" customHeight="false" outlineLevel="0" collapsed="false">
      <c r="A80" s="5" t="s">
        <v>294</v>
      </c>
      <c r="B80" s="5" t="n">
        <v>1</v>
      </c>
      <c r="C80" s="5" t="s">
        <v>1127</v>
      </c>
    </row>
    <row r="81" customFormat="false" ht="15" hidden="false" customHeight="false" outlineLevel="0" collapsed="false">
      <c r="A81" s="5" t="s">
        <v>294</v>
      </c>
      <c r="B81" s="5" t="n">
        <v>2</v>
      </c>
      <c r="C81" s="5" t="s">
        <v>1174</v>
      </c>
    </row>
    <row r="82" customFormat="false" ht="15" hidden="false" customHeight="false" outlineLevel="0" collapsed="false">
      <c r="A82" s="5" t="s">
        <v>294</v>
      </c>
      <c r="B82" s="5" t="n">
        <v>3</v>
      </c>
      <c r="C82" s="5" t="s">
        <v>1175</v>
      </c>
    </row>
    <row r="83" customFormat="false" ht="15" hidden="false" customHeight="false" outlineLevel="0" collapsed="false">
      <c r="A83" s="5" t="s">
        <v>294</v>
      </c>
      <c r="B83" s="5" t="n">
        <v>4</v>
      </c>
      <c r="C83" s="5" t="s">
        <v>1176</v>
      </c>
    </row>
    <row r="84" customFormat="false" ht="15" hidden="false" customHeight="false" outlineLevel="0" collapsed="false">
      <c r="A84" s="5" t="s">
        <v>294</v>
      </c>
      <c r="B84" s="5" t="n">
        <v>5</v>
      </c>
      <c r="C84" s="5" t="s">
        <v>1177</v>
      </c>
    </row>
    <row r="85" customFormat="false" ht="15" hidden="false" customHeight="false" outlineLevel="0" collapsed="false">
      <c r="A85" s="5" t="s">
        <v>294</v>
      </c>
      <c r="B85" s="5" t="n">
        <v>6</v>
      </c>
      <c r="C85" s="5" t="s">
        <v>1178</v>
      </c>
    </row>
    <row r="86" customFormat="false" ht="15" hidden="false" customHeight="false" outlineLevel="0" collapsed="false">
      <c r="A86" s="5" t="s">
        <v>294</v>
      </c>
      <c r="B86" s="5" t="n">
        <v>7</v>
      </c>
      <c r="C86" s="5" t="s">
        <v>1179</v>
      </c>
    </row>
    <row r="87" customFormat="false" ht="15" hidden="false" customHeight="false" outlineLevel="0" collapsed="false">
      <c r="A87" s="5" t="s">
        <v>294</v>
      </c>
      <c r="B87" s="5" t="n">
        <v>8</v>
      </c>
      <c r="C87" s="5" t="s">
        <v>1180</v>
      </c>
    </row>
    <row r="88" customFormat="false" ht="15" hidden="false" customHeight="false" outlineLevel="0" collapsed="false">
      <c r="A88" s="5" t="s">
        <v>294</v>
      </c>
      <c r="B88" s="5" t="n">
        <v>9</v>
      </c>
      <c r="C88" s="5" t="s">
        <v>1181</v>
      </c>
    </row>
    <row r="89" customFormat="false" ht="15" hidden="false" customHeight="false" outlineLevel="0" collapsed="false">
      <c r="A89" s="5" t="s">
        <v>294</v>
      </c>
      <c r="B89" s="5" t="n">
        <v>10</v>
      </c>
      <c r="C89" s="5" t="s">
        <v>1182</v>
      </c>
    </row>
    <row r="90" customFormat="false" ht="15" hidden="false" customHeight="false" outlineLevel="0" collapsed="false">
      <c r="A90" s="5" t="s">
        <v>294</v>
      </c>
      <c r="B90" s="5" t="n">
        <v>11</v>
      </c>
      <c r="C90" s="5" t="s">
        <v>1183</v>
      </c>
    </row>
    <row r="91" customFormat="false" ht="15" hidden="false" customHeight="false" outlineLevel="0" collapsed="false">
      <c r="A91" s="5" t="s">
        <v>294</v>
      </c>
      <c r="B91" s="5" t="n">
        <v>12</v>
      </c>
      <c r="C91" s="5" t="s">
        <v>1184</v>
      </c>
    </row>
    <row r="92" customFormat="false" ht="15" hidden="false" customHeight="false" outlineLevel="0" collapsed="false">
      <c r="A92" s="5" t="s">
        <v>294</v>
      </c>
      <c r="B92" s="5" t="n">
        <v>13</v>
      </c>
      <c r="C92" s="5" t="s">
        <v>1185</v>
      </c>
    </row>
    <row r="93" customFormat="false" ht="15" hidden="false" customHeight="false" outlineLevel="0" collapsed="false">
      <c r="A93" s="5" t="s">
        <v>294</v>
      </c>
      <c r="B93" s="5" t="n">
        <v>14</v>
      </c>
      <c r="C93" s="5" t="s">
        <v>1186</v>
      </c>
    </row>
    <row r="95" customFormat="false" ht="105" hidden="false" customHeight="true" outlineLevel="0" collapsed="false">
      <c r="A95" s="26" t="s">
        <v>1187</v>
      </c>
      <c r="B95" s="26"/>
      <c r="C95" s="26"/>
    </row>
  </sheetData>
  <autoFilter ref="A1:C93"/>
  <mergeCells count="1">
    <mergeCell ref="A95:C9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0"/>
    <col collapsed="false" customWidth="true" hidden="false" outlineLevel="0" max="3" min="3" style="0" width="115"/>
  </cols>
  <sheetData>
    <row r="1" customFormat="false" ht="45" hidden="false" customHeight="true" outlineLevel="0" collapsed="false">
      <c r="A1" s="3" t="s">
        <v>1188</v>
      </c>
      <c r="B1" s="3" t="s">
        <v>1189</v>
      </c>
      <c r="C1" s="3" t="s">
        <v>1190</v>
      </c>
    </row>
    <row r="2" customFormat="false" ht="180" hidden="false" customHeight="true" outlineLevel="0" collapsed="false">
      <c r="A2" s="5" t="s">
        <v>1191</v>
      </c>
      <c r="B2" s="5" t="n">
        <v>1</v>
      </c>
      <c r="C2" s="5" t="s">
        <v>1192</v>
      </c>
    </row>
    <row r="3" customFormat="false" ht="180" hidden="false" customHeight="true" outlineLevel="0" collapsed="false">
      <c r="A3" s="5" t="s">
        <v>1191</v>
      </c>
      <c r="B3" s="5" t="n">
        <v>2</v>
      </c>
      <c r="C3" s="5" t="s">
        <v>1193</v>
      </c>
    </row>
    <row r="4" customFormat="false" ht="180" hidden="false" customHeight="true" outlineLevel="0" collapsed="false">
      <c r="A4" s="5" t="s">
        <v>1191</v>
      </c>
      <c r="B4" s="5" t="n">
        <v>3</v>
      </c>
      <c r="C4" s="5" t="s">
        <v>1194</v>
      </c>
    </row>
    <row r="5" customFormat="false" ht="180" hidden="false" customHeight="true" outlineLevel="0" collapsed="false">
      <c r="A5" s="5" t="s">
        <v>1191</v>
      </c>
      <c r="B5" s="5" t="n">
        <v>4</v>
      </c>
      <c r="C5" s="5" t="s">
        <v>1195</v>
      </c>
    </row>
    <row r="6" customFormat="false" ht="180" hidden="false" customHeight="true" outlineLevel="0" collapsed="false">
      <c r="A6" s="5" t="s">
        <v>1191</v>
      </c>
      <c r="B6" s="5" t="n">
        <v>5</v>
      </c>
      <c r="C6" s="5" t="s">
        <v>1196</v>
      </c>
    </row>
    <row r="7" customFormat="false" ht="180" hidden="false" customHeight="true" outlineLevel="0" collapsed="false">
      <c r="A7" s="5" t="s">
        <v>1191</v>
      </c>
      <c r="B7" s="5" t="n">
        <v>6</v>
      </c>
      <c r="C7" s="5" t="s">
        <v>1197</v>
      </c>
    </row>
    <row r="8" customFormat="false" ht="180" hidden="false" customHeight="true" outlineLevel="0" collapsed="false">
      <c r="A8" s="5" t="s">
        <v>1191</v>
      </c>
      <c r="B8" s="5" t="n">
        <v>7</v>
      </c>
      <c r="C8" s="5" t="s">
        <v>1198</v>
      </c>
    </row>
    <row r="9" customFormat="false" ht="739.55" hidden="false" customHeight="false" outlineLevel="0" collapsed="false">
      <c r="A9" s="5" t="s">
        <v>1199</v>
      </c>
      <c r="B9" s="5" t="n">
        <v>1</v>
      </c>
      <c r="C9" s="5" t="s">
        <v>1200</v>
      </c>
    </row>
    <row r="10" customFormat="false" ht="793.25" hidden="false" customHeight="false" outlineLevel="0" collapsed="false">
      <c r="A10" s="5" t="s">
        <v>1199</v>
      </c>
      <c r="B10" s="5" t="n">
        <v>2</v>
      </c>
      <c r="C10" s="5" t="s">
        <v>1201</v>
      </c>
    </row>
    <row r="11" customFormat="false" ht="752.95" hidden="false" customHeight="false" outlineLevel="0" collapsed="false">
      <c r="A11" s="5" t="s">
        <v>1199</v>
      </c>
      <c r="B11" s="5" t="n">
        <v>3</v>
      </c>
      <c r="C11" s="5" t="s">
        <v>1202</v>
      </c>
    </row>
    <row r="12" customFormat="false" ht="592.5" hidden="false" customHeight="false" outlineLevel="0" collapsed="false">
      <c r="A12" s="5" t="s">
        <v>1199</v>
      </c>
      <c r="B12" s="5" t="n">
        <v>4</v>
      </c>
      <c r="C12" s="5" t="s">
        <v>1203</v>
      </c>
    </row>
    <row r="13" customFormat="false" ht="565.65" hidden="false" customHeight="false" outlineLevel="0" collapsed="false">
      <c r="A13" s="5" t="s">
        <v>1199</v>
      </c>
      <c r="B13" s="5" t="n">
        <v>5</v>
      </c>
      <c r="C13" s="5" t="s">
        <v>1204</v>
      </c>
    </row>
    <row r="14" customFormat="false" ht="1599.25" hidden="false" customHeight="false" outlineLevel="0" collapsed="false">
      <c r="A14" s="5" t="s">
        <v>1199</v>
      </c>
      <c r="B14" s="5" t="n">
        <v>6</v>
      </c>
      <c r="C14" s="5" t="s">
        <v>1205</v>
      </c>
    </row>
    <row r="15" customFormat="false" ht="673.1" hidden="false" customHeight="false" outlineLevel="0" collapsed="false">
      <c r="A15" s="5" t="s">
        <v>1199</v>
      </c>
      <c r="B15" s="5" t="n">
        <v>7</v>
      </c>
      <c r="C15" s="5" t="s">
        <v>1206</v>
      </c>
    </row>
    <row r="16" customFormat="false" ht="793.25" hidden="false" customHeight="false" outlineLevel="0" collapsed="false">
      <c r="A16" s="5" t="s">
        <v>1199</v>
      </c>
      <c r="B16" s="5" t="n">
        <v>8</v>
      </c>
      <c r="C16" s="5" t="s">
        <v>1207</v>
      </c>
    </row>
    <row r="17" customFormat="false" ht="914.15" hidden="false" customHeight="false" outlineLevel="0" collapsed="false">
      <c r="A17" s="5" t="s">
        <v>1199</v>
      </c>
      <c r="B17" s="5" t="n">
        <v>9</v>
      </c>
      <c r="C17" s="5" t="s">
        <v>1208</v>
      </c>
    </row>
    <row r="18" customFormat="false" ht="458.2" hidden="false" customHeight="false" outlineLevel="0" collapsed="false">
      <c r="A18" s="5" t="s">
        <v>1199</v>
      </c>
      <c r="B18" s="5" t="n">
        <v>10</v>
      </c>
      <c r="C18" s="5" t="s">
        <v>1209</v>
      </c>
    </row>
    <row r="19" customFormat="false" ht="552.2" hidden="false" customHeight="false" outlineLevel="0" collapsed="false">
      <c r="A19" s="5" t="s">
        <v>1199</v>
      </c>
      <c r="B19" s="5" t="n">
        <v>11</v>
      </c>
      <c r="C19" s="5" t="s">
        <v>1210</v>
      </c>
    </row>
    <row r="20" customFormat="false" ht="847" hidden="false" customHeight="false" outlineLevel="0" collapsed="false">
      <c r="A20" s="5" t="s">
        <v>1199</v>
      </c>
      <c r="B20" s="5" t="n">
        <v>12</v>
      </c>
      <c r="C20" s="5" t="s">
        <v>1211</v>
      </c>
    </row>
    <row r="21" customFormat="false" ht="310.4" hidden="false" customHeight="false" outlineLevel="0" collapsed="false">
      <c r="A21" s="5" t="s">
        <v>1212</v>
      </c>
      <c r="B21" s="5" t="n">
        <v>1</v>
      </c>
      <c r="C21" s="5" t="s">
        <v>1213</v>
      </c>
    </row>
    <row r="22" customFormat="false" ht="619.4" hidden="false" customHeight="false" outlineLevel="0" collapsed="false">
      <c r="A22" s="5" t="s">
        <v>1212</v>
      </c>
      <c r="B22" s="5" t="n">
        <v>2</v>
      </c>
      <c r="C22" s="5" t="s">
        <v>1214</v>
      </c>
    </row>
    <row r="23" customFormat="false" ht="833.55" hidden="false" customHeight="false" outlineLevel="0" collapsed="false">
      <c r="A23" s="5" t="s">
        <v>1212</v>
      </c>
      <c r="B23" s="5" t="n">
        <v>3</v>
      </c>
      <c r="C23" s="5" t="s">
        <v>1215</v>
      </c>
    </row>
    <row r="24" customFormat="false" ht="176.1" hidden="false" customHeight="false" outlineLevel="0" collapsed="false">
      <c r="A24" s="5" t="s">
        <v>1212</v>
      </c>
      <c r="B24" s="5" t="n">
        <v>4</v>
      </c>
      <c r="C24" s="5" t="s">
        <v>1216</v>
      </c>
    </row>
    <row r="25" customFormat="false" ht="176.1" hidden="false" customHeight="false" outlineLevel="0" collapsed="false">
      <c r="A25" s="5" t="s">
        <v>1212</v>
      </c>
      <c r="B25" s="5" t="n">
        <v>5</v>
      </c>
      <c r="C25" s="5" t="s">
        <v>1217</v>
      </c>
    </row>
    <row r="26" customFormat="false" ht="270.1" hidden="false" customHeight="false" outlineLevel="0" collapsed="false">
      <c r="A26" s="5" t="s">
        <v>1212</v>
      </c>
      <c r="B26" s="5" t="n">
        <v>6</v>
      </c>
      <c r="C26" s="5" t="s">
        <v>1218</v>
      </c>
    </row>
    <row r="27" customFormat="false" ht="149.25" hidden="false" customHeight="false" outlineLevel="0" collapsed="false">
      <c r="A27" s="5" t="s">
        <v>1212</v>
      </c>
      <c r="B27" s="5" t="n">
        <v>7</v>
      </c>
      <c r="C27" s="5" t="s">
        <v>1219</v>
      </c>
    </row>
    <row r="28" customFormat="false" ht="659.7" hidden="false" customHeight="false" outlineLevel="0" collapsed="false">
      <c r="A28" s="5" t="s">
        <v>1212</v>
      </c>
      <c r="B28" s="5" t="n">
        <v>8</v>
      </c>
      <c r="C28" s="5" t="s">
        <v>1220</v>
      </c>
    </row>
    <row r="29" customFormat="false" ht="471.6" hidden="false" customHeight="false" outlineLevel="0" collapsed="false">
      <c r="A29" s="5" t="s">
        <v>1212</v>
      </c>
      <c r="B29" s="5" t="n">
        <v>9</v>
      </c>
      <c r="C29" s="5" t="s">
        <v>1221</v>
      </c>
    </row>
    <row r="30" customFormat="false" ht="659.7" hidden="false" customHeight="false" outlineLevel="0" collapsed="false">
      <c r="A30" s="5" t="s">
        <v>1212</v>
      </c>
      <c r="B30" s="5" t="n">
        <v>10</v>
      </c>
      <c r="C30" s="5" t="s">
        <v>1222</v>
      </c>
    </row>
    <row r="31" customFormat="false" ht="122.35" hidden="false" customHeight="false" outlineLevel="0" collapsed="false">
      <c r="A31" s="5" t="s">
        <v>1212</v>
      </c>
      <c r="B31" s="5" t="n">
        <v>11</v>
      </c>
      <c r="C31" s="5" t="s">
        <v>1223</v>
      </c>
    </row>
    <row r="32" customFormat="false" ht="1558.95" hidden="false" customHeight="false" outlineLevel="0" collapsed="false">
      <c r="A32" s="5" t="s">
        <v>1224</v>
      </c>
      <c r="B32" s="5" t="n">
        <v>1</v>
      </c>
      <c r="C32" s="5" t="s">
        <v>1225</v>
      </c>
    </row>
    <row r="33" customFormat="false" ht="1505.2" hidden="false" customHeight="false" outlineLevel="0" collapsed="false">
      <c r="A33" s="5" t="s">
        <v>1224</v>
      </c>
      <c r="B33" s="5" t="n">
        <v>2</v>
      </c>
      <c r="C33" s="5" t="s">
        <v>1226</v>
      </c>
    </row>
    <row r="34" customFormat="false" ht="1491.75" hidden="false" customHeight="false" outlineLevel="0" collapsed="false">
      <c r="A34" s="5" t="s">
        <v>1224</v>
      </c>
      <c r="B34" s="5" t="n">
        <v>3</v>
      </c>
      <c r="C34" s="5" t="s">
        <v>1227</v>
      </c>
    </row>
    <row r="35" customFormat="false" ht="1988.8" hidden="false" customHeight="false" outlineLevel="0" collapsed="false">
      <c r="A35" s="5" t="s">
        <v>1224</v>
      </c>
      <c r="B35" s="5" t="n">
        <v>4</v>
      </c>
      <c r="C35" s="5" t="s">
        <v>1228</v>
      </c>
    </row>
    <row r="36" customFormat="false" ht="1572.35" hidden="false" customHeight="false" outlineLevel="0" collapsed="false">
      <c r="A36" s="5" t="s">
        <v>1224</v>
      </c>
      <c r="B36" s="5" t="n">
        <v>5</v>
      </c>
      <c r="C36" s="5" t="s">
        <v>1229</v>
      </c>
    </row>
    <row r="37" customFormat="false" ht="2002.2" hidden="false" customHeight="false" outlineLevel="0" collapsed="false">
      <c r="A37" s="5" t="s">
        <v>1224</v>
      </c>
      <c r="B37" s="5" t="n">
        <v>6</v>
      </c>
      <c r="C37" s="5" t="s">
        <v>1230</v>
      </c>
    </row>
    <row r="38" customFormat="false" ht="2511.9" hidden="false" customHeight="false" outlineLevel="0" collapsed="false">
      <c r="A38" s="5" t="s">
        <v>1224</v>
      </c>
      <c r="B38" s="5" t="n">
        <v>7</v>
      </c>
      <c r="C38" s="5" t="s">
        <v>1231</v>
      </c>
    </row>
    <row r="39" customFormat="false" ht="1451.45" hidden="false" customHeight="false" outlineLevel="0" collapsed="false">
      <c r="A39" s="5" t="s">
        <v>1224</v>
      </c>
      <c r="B39" s="5" t="n">
        <v>8</v>
      </c>
      <c r="C39" s="5" t="s">
        <v>1232</v>
      </c>
    </row>
    <row r="40" customFormat="false" ht="1693.25" hidden="false" customHeight="false" outlineLevel="0" collapsed="false">
      <c r="A40" s="5" t="s">
        <v>1224</v>
      </c>
      <c r="B40" s="5" t="n">
        <v>9</v>
      </c>
      <c r="C40" s="5" t="s">
        <v>1233</v>
      </c>
    </row>
    <row r="41" customFormat="false" ht="1733.55" hidden="false" customHeight="false" outlineLevel="0" collapsed="false">
      <c r="A41" s="5" t="s">
        <v>1224</v>
      </c>
      <c r="B41" s="5" t="n">
        <v>10</v>
      </c>
      <c r="C41" s="5" t="s">
        <v>1234</v>
      </c>
    </row>
    <row r="42" customFormat="false" ht="1626.1" hidden="false" customHeight="false" outlineLevel="0" collapsed="false">
      <c r="A42" s="5" t="s">
        <v>1224</v>
      </c>
      <c r="B42" s="5" t="n">
        <v>11</v>
      </c>
      <c r="C42" s="5" t="s">
        <v>1235</v>
      </c>
    </row>
    <row r="43" customFormat="false" ht="2109.7" hidden="false" customHeight="false" outlineLevel="0" collapsed="false">
      <c r="A43" s="5" t="s">
        <v>1224</v>
      </c>
      <c r="B43" s="5" t="n">
        <v>12</v>
      </c>
      <c r="C43" s="5" t="s">
        <v>1236</v>
      </c>
    </row>
    <row r="44" customFormat="false" ht="1169.4" hidden="false" customHeight="false" outlineLevel="0" collapsed="false">
      <c r="A44" s="5" t="s">
        <v>1224</v>
      </c>
      <c r="B44" s="5" t="n">
        <v>13</v>
      </c>
      <c r="C44" s="5" t="s">
        <v>1237</v>
      </c>
    </row>
  </sheetData>
  <autoFilter ref="A1:C4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2026-10-17T12:29:39Z</dcterms:created>
  <dc:creator>openpyxl</dc:creator>
  <dc:description/>
  <dc:language>en-US</dc:language>
  <cp:lastModifiedBy/>
  <dcterms:modified xsi:type="dcterms:W3CDTF">2026-10-18T12:02:50Z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